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5 Day Class\1st Class\Invoice\"/>
    </mc:Choice>
  </mc:AlternateContent>
  <xr:revisionPtr revIDLastSave="0" documentId="13_ncr:1_{627E3336-802F-482D-9507-864CC6B402D3}" xr6:coauthVersionLast="47" xr6:coauthVersionMax="47" xr10:uidLastSave="{00000000-0000-0000-0000-000000000000}"/>
  <bookViews>
    <workbookView xWindow="0" yWindow="0" windowWidth="20490" windowHeight="10920" activeTab="2" xr2:uid="{52AEEA42-34BF-4AB8-857B-35ABDC7FC561}"/>
  </bookViews>
  <sheets>
    <sheet name="Invoice" sheetId="1" r:id="rId1"/>
    <sheet name="Customer Detail" sheetId="4" r:id="rId2"/>
    <sheet name="Purchase" sheetId="2" r:id="rId3"/>
    <sheet name="Sales" sheetId="3" r:id="rId4"/>
    <sheet name="Stock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1" l="1"/>
  <c r="F11" i="1" a="1"/>
  <c r="F11" i="1"/>
  <c r="A11" i="1"/>
  <c r="A12" i="1"/>
  <c r="C12" i="1"/>
  <c r="E12" i="1"/>
  <c r="A13" i="1"/>
  <c r="C13" i="1"/>
  <c r="E13" i="1"/>
  <c r="D4" i="5" a="1"/>
  <c r="D4" i="5"/>
  <c r="F12" i="1" a="1"/>
  <c r="F12" i="1"/>
  <c r="F13" i="1" a="1"/>
  <c r="F13" i="1"/>
  <c r="F14" i="1" a="1"/>
  <c r="F14" i="1"/>
  <c r="F15" i="1" a="1"/>
  <c r="F15" i="1"/>
  <c r="F16" i="1" a="1"/>
  <c r="F16" i="1"/>
  <c r="F17" i="1" a="1"/>
  <c r="F17" i="1"/>
  <c r="E4" i="5" a="1"/>
  <c r="E4" i="5"/>
  <c r="E6" i="1"/>
  <c r="F4" i="5" a="1"/>
  <c r="F4" i="5"/>
  <c r="G4" i="5"/>
  <c r="A14" i="1"/>
  <c r="A15" i="1"/>
  <c r="A16" i="1"/>
  <c r="A17" i="1"/>
  <c r="C14" i="1"/>
  <c r="E14" i="1" s="1"/>
  <c r="C15" i="1"/>
  <c r="E15" i="1" s="1"/>
  <c r="C16" i="1"/>
  <c r="E16" i="1" s="1"/>
  <c r="C17" i="1"/>
  <c r="E17" i="1" s="1"/>
  <c r="E18" i="1"/>
  <c r="B8" i="1"/>
  <c r="B7" i="1"/>
  <c r="G10" i="5" l="1"/>
  <c r="G11" i="5"/>
  <c r="G12" i="5"/>
  <c r="G13" i="5"/>
  <c r="G14" i="5"/>
  <c r="G5" i="5"/>
  <c r="G6" i="5"/>
  <c r="G7" i="5"/>
  <c r="G8" i="5"/>
  <c r="G9" i="5"/>
  <c r="E21" i="1"/>
  <c r="E20" i="1"/>
  <c r="E19" i="1"/>
  <c r="E22" i="1" s="1"/>
  <c r="E2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<sst xmlns="http://schemas.openxmlformats.org/spreadsheetml/2006/main" count="83" uniqueCount="45">
  <si>
    <t>SL No.</t>
  </si>
  <si>
    <t>Item Name</t>
  </si>
  <si>
    <t>Rate</t>
  </si>
  <si>
    <t>Qty</t>
  </si>
  <si>
    <t>Amount</t>
  </si>
  <si>
    <t>Name</t>
  </si>
  <si>
    <t>Contact</t>
  </si>
  <si>
    <t>Invoice No</t>
  </si>
  <si>
    <t>Date</t>
  </si>
  <si>
    <t>Customer Details</t>
  </si>
  <si>
    <t>SM INTERPRIZE</t>
  </si>
  <si>
    <t>Total Amount</t>
  </si>
  <si>
    <t>SGST 8%</t>
  </si>
  <si>
    <t>CGST 10%</t>
  </si>
  <si>
    <t>Discount 5%</t>
  </si>
  <si>
    <t>Grant Total</t>
  </si>
  <si>
    <t>In Word</t>
  </si>
  <si>
    <t>Paid</t>
  </si>
  <si>
    <t>Due</t>
  </si>
  <si>
    <t>Signature &amp; Seal</t>
  </si>
  <si>
    <t>Received By</t>
  </si>
  <si>
    <t>Email : sminterprise@gmail.com                   Mobile : 9858545***</t>
  </si>
  <si>
    <t>Address</t>
  </si>
  <si>
    <t>Address : *******                                                    GST No. : *******</t>
  </si>
  <si>
    <t>Item Id</t>
  </si>
  <si>
    <t>Total</t>
  </si>
  <si>
    <t xml:space="preserve">Contact </t>
  </si>
  <si>
    <t>Somir Das</t>
  </si>
  <si>
    <t>P Road 506</t>
  </si>
  <si>
    <t>P Road 507</t>
  </si>
  <si>
    <t>P Road 508</t>
  </si>
  <si>
    <t>P Road 509</t>
  </si>
  <si>
    <t>P Road 510</t>
  </si>
  <si>
    <t>Rana Sk</t>
  </si>
  <si>
    <t>Saroj pal</t>
  </si>
  <si>
    <t>Amit Pal</t>
  </si>
  <si>
    <t>Bittu Mondal</t>
  </si>
  <si>
    <t>Sales</t>
  </si>
  <si>
    <t>Purchase</t>
  </si>
  <si>
    <t>Stock</t>
  </si>
  <si>
    <t>Laptop</t>
  </si>
  <si>
    <t>LP1001</t>
  </si>
  <si>
    <t xml:space="preserve">    Invoice</t>
  </si>
  <si>
    <t>TAB</t>
  </si>
  <si>
    <t>TB2001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</si>
</sst>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20"/>
      <color rgb="FF7030A0"/>
      <name val="Aptos Narrow"/>
      <family val="2"/>
      <scheme val="minor"/>
    </font>
    <font>
      <b/>
      <sz val="18"/>
      <color theme="5" tint="-0.499984740745262"/>
      <name val="Aptos Narrow"/>
      <family val="2"/>
      <scheme val="minor"/>
    </font>
    <font>
      <b/>
      <sz val="16"/>
      <color theme="5" tint="-0.499984740745262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b/>
      <sz val="20"/>
      <color theme="8" tint="-0.499984740745262"/>
      <name val="Aptos Narrow"/>
      <family val="2"/>
      <scheme val="minor"/>
    </font>
    <font>
      <sz val="8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1"/>
      <color theme="1"/>
      <name val="ADLaM Display"/>
    </font>
    <font>
      <b/>
      <sz val="18"/>
      <color theme="3"/>
      <name val="Aptos Narrow"/>
      <family val="2"/>
      <scheme val="minor"/>
    </font>
    <font>
      <sz val="20"/>
      <color theme="0"/>
      <name val="Aptos Narrow"/>
      <family val="2"/>
      <scheme val="minor"/>
    </font>
    <font>
      <sz val="24"/>
      <color theme="8"/>
      <name val="ADLaM Display"/>
    </font>
  </fonts>
  <fills count="14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0" borderId="1" xfId="0" applyFont="1" applyBorder="1"/>
    <xf numFmtId="0" fontId="3" fillId="0" borderId="1" xfId="0" applyFont="1" applyBorder="1"/>
    <xf numFmtId="0" fontId="1" fillId="0" borderId="0" xfId="0" applyFont="1"/>
    <xf numFmtId="0" fontId="1" fillId="0" borderId="3" xfId="0" applyFont="1" applyBorder="1" applyAlignment="1">
      <alignment horizontal="center" vertical="top"/>
    </xf>
    <xf numFmtId="0" fontId="4" fillId="3" borderId="1" xfId="0" applyFont="1" applyFill="1" applyBorder="1" applyAlignment="1">
      <alignment horizontal="center" vertical="center"/>
    </xf>
    <xf numFmtId="0" fontId="2" fillId="6" borderId="1" xfId="0" applyFont="1" applyFill="1" applyBorder="1"/>
    <xf numFmtId="0" fontId="2" fillId="6" borderId="10" xfId="0" applyFont="1" applyFill="1" applyBorder="1"/>
    <xf numFmtId="0" fontId="2" fillId="2" borderId="11" xfId="0" applyFont="1" applyFill="1" applyBorder="1"/>
    <xf numFmtId="0" fontId="2" fillId="2" borderId="1" xfId="0" applyFont="1" applyFill="1" applyBorder="1"/>
    <xf numFmtId="0" fontId="3" fillId="4" borderId="1" xfId="0" applyFont="1" applyFill="1" applyBorder="1"/>
    <xf numFmtId="14" fontId="3" fillId="8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0" fontId="2" fillId="8" borderId="1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12" fillId="9" borderId="1" xfId="0" applyFont="1" applyFill="1" applyBorder="1"/>
    <xf numFmtId="0" fontId="12" fillId="9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left" vertical="center"/>
    </xf>
    <xf numFmtId="0" fontId="10" fillId="0" borderId="1" xfId="0" applyFont="1" applyBorder="1" applyAlignment="1">
      <alignment horizontal="left"/>
    </xf>
    <xf numFmtId="14" fontId="3" fillId="0" borderId="1" xfId="0" applyNumberFormat="1" applyFont="1" applyBorder="1" applyAlignment="1">
      <alignment horizontal="center" vertical="center"/>
    </xf>
    <xf numFmtId="14" fontId="3" fillId="0" borderId="1" xfId="0" applyNumberFormat="1" applyFont="1" applyBorder="1"/>
    <xf numFmtId="0" fontId="3" fillId="13" borderId="0" xfId="0" applyFont="1" applyFill="1"/>
    <xf numFmtId="0" fontId="3" fillId="13" borderId="0" xfId="0" applyFont="1" applyFill="1" applyAlignment="1">
      <alignment horizontal="center" vertical="center"/>
    </xf>
    <xf numFmtId="0" fontId="0" fillId="13" borderId="0" xfId="0" applyFill="1"/>
    <xf numFmtId="14" fontId="3" fillId="13" borderId="0" xfId="0" applyNumberFormat="1" applyFont="1" applyFill="1" applyAlignment="1">
      <alignment horizontal="center" vertical="center"/>
    </xf>
    <xf numFmtId="0" fontId="1" fillId="0" borderId="3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11" fillId="0" borderId="1" xfId="0" applyFont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0" fontId="7" fillId="5" borderId="0" xfId="0" applyFont="1" applyFill="1" applyAlignment="1">
      <alignment horizontal="center"/>
    </xf>
    <xf numFmtId="0" fontId="7" fillId="5" borderId="6" xfId="0" applyFont="1" applyFill="1" applyBorder="1" applyAlignment="1">
      <alignment horizontal="center"/>
    </xf>
    <xf numFmtId="0" fontId="13" fillId="11" borderId="2" xfId="0" applyFont="1" applyFill="1" applyBorder="1" applyAlignment="1">
      <alignment horizontal="left"/>
    </xf>
    <xf numFmtId="0" fontId="13" fillId="11" borderId="3" xfId="0" applyFont="1" applyFill="1" applyBorder="1" applyAlignment="1">
      <alignment horizontal="left"/>
    </xf>
    <xf numFmtId="0" fontId="13" fillId="11" borderId="4" xfId="0" applyFont="1" applyFill="1" applyBorder="1" applyAlignment="1">
      <alignment horizontal="left"/>
    </xf>
    <xf numFmtId="0" fontId="14" fillId="12" borderId="5" xfId="0" applyFont="1" applyFill="1" applyBorder="1" applyAlignment="1">
      <alignment horizontal="left"/>
    </xf>
    <xf numFmtId="0" fontId="14" fillId="12" borderId="0" xfId="0" applyFont="1" applyFill="1" applyAlignment="1">
      <alignment horizontal="left"/>
    </xf>
    <xf numFmtId="0" fontId="14" fillId="12" borderId="6" xfId="0" applyFont="1" applyFill="1" applyBorder="1" applyAlignment="1">
      <alignment horizontal="left"/>
    </xf>
    <xf numFmtId="0" fontId="5" fillId="12" borderId="5" xfId="0" applyFont="1" applyFill="1" applyBorder="1" applyAlignment="1">
      <alignment horizontal="left"/>
    </xf>
    <xf numFmtId="0" fontId="5" fillId="12" borderId="0" xfId="0" applyFont="1" applyFill="1" applyAlignment="1">
      <alignment horizontal="left"/>
    </xf>
    <xf numFmtId="0" fontId="5" fillId="12" borderId="6" xfId="0" applyFont="1" applyFill="1" applyBorder="1" applyAlignment="1">
      <alignment horizontal="left"/>
    </xf>
    <xf numFmtId="0" fontId="6" fillId="12" borderId="5" xfId="0" applyFont="1" applyFill="1" applyBorder="1" applyAlignment="1">
      <alignment horizontal="left"/>
    </xf>
    <xf numFmtId="0" fontId="6" fillId="12" borderId="0" xfId="0" applyFont="1" applyFill="1" applyAlignment="1">
      <alignment horizontal="left"/>
    </xf>
    <xf numFmtId="0" fontId="6" fillId="12" borderId="6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ales!A1"/><Relationship Id="rId2" Type="http://schemas.openxmlformats.org/officeDocument/2006/relationships/hyperlink" Target="#Perchase!A1"/><Relationship Id="rId1" Type="http://schemas.openxmlformats.org/officeDocument/2006/relationships/hyperlink" Target="#'Customer Detail'!A1"/><Relationship Id="rId5" Type="http://schemas.openxmlformats.org/officeDocument/2006/relationships/image" Target="../media/image1.png"/><Relationship Id="rId4" Type="http://schemas.openxmlformats.org/officeDocument/2006/relationships/hyperlink" Target="#Stock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Stock!A1"/><Relationship Id="rId2" Type="http://schemas.openxmlformats.org/officeDocument/2006/relationships/hyperlink" Target="#Sales!A1"/><Relationship Id="rId1" Type="http://schemas.openxmlformats.org/officeDocument/2006/relationships/hyperlink" Target="#Purchase!A1"/><Relationship Id="rId6" Type="http://schemas.openxmlformats.org/officeDocument/2006/relationships/image" Target="../media/image3.svg"/><Relationship Id="rId5" Type="http://schemas.openxmlformats.org/officeDocument/2006/relationships/image" Target="../media/image2.png"/><Relationship Id="rId4" Type="http://schemas.openxmlformats.org/officeDocument/2006/relationships/hyperlink" Target="#Invoice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Stock!A1"/><Relationship Id="rId2" Type="http://schemas.openxmlformats.org/officeDocument/2006/relationships/hyperlink" Target="#Sales!A1"/><Relationship Id="rId1" Type="http://schemas.openxmlformats.org/officeDocument/2006/relationships/hyperlink" Target="#'Customer Detail'!A1"/><Relationship Id="rId6" Type="http://schemas.openxmlformats.org/officeDocument/2006/relationships/image" Target="../media/image3.svg"/><Relationship Id="rId5" Type="http://schemas.openxmlformats.org/officeDocument/2006/relationships/image" Target="../media/image2.png"/><Relationship Id="rId4" Type="http://schemas.openxmlformats.org/officeDocument/2006/relationships/hyperlink" Target="#Invoic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Stock!A1"/><Relationship Id="rId2" Type="http://schemas.openxmlformats.org/officeDocument/2006/relationships/hyperlink" Target="#Perchase!A1"/><Relationship Id="rId1" Type="http://schemas.openxmlformats.org/officeDocument/2006/relationships/hyperlink" Target="#'Customer Detail'!A1"/><Relationship Id="rId6" Type="http://schemas.openxmlformats.org/officeDocument/2006/relationships/image" Target="../media/image3.svg"/><Relationship Id="rId5" Type="http://schemas.openxmlformats.org/officeDocument/2006/relationships/image" Target="../media/image2.png"/><Relationship Id="rId4" Type="http://schemas.openxmlformats.org/officeDocument/2006/relationships/hyperlink" Target="#Invoice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Sales!A1"/><Relationship Id="rId2" Type="http://schemas.openxmlformats.org/officeDocument/2006/relationships/hyperlink" Target="#Purchase!A1"/><Relationship Id="rId1" Type="http://schemas.openxmlformats.org/officeDocument/2006/relationships/hyperlink" Target="#'Customer Detail'!A1"/><Relationship Id="rId6" Type="http://schemas.openxmlformats.org/officeDocument/2006/relationships/image" Target="../media/image3.svg"/><Relationship Id="rId5" Type="http://schemas.openxmlformats.org/officeDocument/2006/relationships/image" Target="../media/image2.png"/><Relationship Id="rId4" Type="http://schemas.openxmlformats.org/officeDocument/2006/relationships/hyperlink" Target="#Invoic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0</xdr:colOff>
      <xdr:row>0</xdr:row>
      <xdr:rowOff>114300</xdr:rowOff>
    </xdr:from>
    <xdr:to>
      <xdr:col>9</xdr:col>
      <xdr:colOff>590550</xdr:colOff>
      <xdr:row>1</xdr:row>
      <xdr:rowOff>180975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D5BC231-9DCF-9072-137A-DD6C284EADFE}"/>
            </a:ext>
          </a:extLst>
        </xdr:cNvPr>
        <xdr:cNvSpPr/>
      </xdr:nvSpPr>
      <xdr:spPr>
        <a:xfrm>
          <a:off x="7248525" y="114300"/>
          <a:ext cx="1200150" cy="400050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rgbClr val="FFFF00"/>
              </a:solidFill>
            </a:rPr>
            <a:t>Customer</a:t>
          </a:r>
        </a:p>
      </xdr:txBody>
    </xdr:sp>
    <xdr:clientData/>
  </xdr:twoCellAnchor>
  <xdr:twoCellAnchor editAs="absolute">
    <xdr:from>
      <xdr:col>8</xdr:col>
      <xdr:colOff>0</xdr:colOff>
      <xdr:row>1</xdr:row>
      <xdr:rowOff>314325</xdr:rowOff>
    </xdr:from>
    <xdr:to>
      <xdr:col>9</xdr:col>
      <xdr:colOff>590550</xdr:colOff>
      <xdr:row>3</xdr:row>
      <xdr:rowOff>0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9A43AD7-7368-416C-9E84-DA1A2EEF5E90}"/>
            </a:ext>
          </a:extLst>
        </xdr:cNvPr>
        <xdr:cNvSpPr/>
      </xdr:nvSpPr>
      <xdr:spPr>
        <a:xfrm>
          <a:off x="7248525" y="647700"/>
          <a:ext cx="1200150" cy="400050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rgbClr val="FFFF00"/>
              </a:solidFill>
            </a:rPr>
            <a:t>Purchase</a:t>
          </a:r>
        </a:p>
      </xdr:txBody>
    </xdr:sp>
    <xdr:clientData/>
  </xdr:twoCellAnchor>
  <xdr:twoCellAnchor editAs="absolute">
    <xdr:from>
      <xdr:col>8</xdr:col>
      <xdr:colOff>0</xdr:colOff>
      <xdr:row>3</xdr:row>
      <xdr:rowOff>133350</xdr:rowOff>
    </xdr:from>
    <xdr:to>
      <xdr:col>9</xdr:col>
      <xdr:colOff>590550</xdr:colOff>
      <xdr:row>5</xdr:row>
      <xdr:rowOff>0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B526B19-E937-4C3E-8A54-E707FC02E2C1}"/>
            </a:ext>
          </a:extLst>
        </xdr:cNvPr>
        <xdr:cNvSpPr/>
      </xdr:nvSpPr>
      <xdr:spPr>
        <a:xfrm>
          <a:off x="7248525" y="1181100"/>
          <a:ext cx="1200150" cy="400050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rgbClr val="FFFF00"/>
              </a:solidFill>
            </a:rPr>
            <a:t>Sales</a:t>
          </a:r>
        </a:p>
      </xdr:txBody>
    </xdr:sp>
    <xdr:clientData/>
  </xdr:twoCellAnchor>
  <xdr:twoCellAnchor editAs="absolute">
    <xdr:from>
      <xdr:col>8</xdr:col>
      <xdr:colOff>19050</xdr:colOff>
      <xdr:row>5</xdr:row>
      <xdr:rowOff>123825</xdr:rowOff>
    </xdr:from>
    <xdr:to>
      <xdr:col>10</xdr:col>
      <xdr:colOff>0</xdr:colOff>
      <xdr:row>6</xdr:row>
      <xdr:rowOff>219075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7389956-C732-4CA0-80A5-8D65F3AC0BC3}"/>
            </a:ext>
          </a:extLst>
        </xdr:cNvPr>
        <xdr:cNvSpPr/>
      </xdr:nvSpPr>
      <xdr:spPr>
        <a:xfrm>
          <a:off x="7267575" y="1704975"/>
          <a:ext cx="1200150" cy="400050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rgbClr val="FFFF00"/>
              </a:solidFill>
            </a:rPr>
            <a:t>Stock</a:t>
          </a:r>
        </a:p>
      </xdr:txBody>
    </xdr:sp>
    <xdr:clientData/>
  </xdr:twoCellAnchor>
  <xdr:twoCellAnchor editAs="absolute">
    <xdr:from>
      <xdr:col>8</xdr:col>
      <xdr:colOff>28575</xdr:colOff>
      <xdr:row>7</xdr:row>
      <xdr:rowOff>285750</xdr:rowOff>
    </xdr:from>
    <xdr:to>
      <xdr:col>10</xdr:col>
      <xdr:colOff>9525</xdr:colOff>
      <xdr:row>10</xdr:row>
      <xdr:rowOff>0</xdr:rowOff>
    </xdr:to>
    <xdr:sp macro="[0]!PrintRang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E378419E-9C88-4766-8241-1DE5574348CF}"/>
            </a:ext>
          </a:extLst>
        </xdr:cNvPr>
        <xdr:cNvSpPr/>
      </xdr:nvSpPr>
      <xdr:spPr>
        <a:xfrm>
          <a:off x="7277100" y="2476500"/>
          <a:ext cx="1200150" cy="400050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rgbClr val="FFFF00"/>
              </a:solidFill>
            </a:rPr>
            <a:t>Print</a:t>
          </a:r>
        </a:p>
      </xdr:txBody>
    </xdr:sp>
    <xdr:clientData/>
  </xdr:twoCellAnchor>
  <xdr:twoCellAnchor editAs="absolute">
    <xdr:from>
      <xdr:col>8</xdr:col>
      <xdr:colOff>38100</xdr:colOff>
      <xdr:row>11</xdr:row>
      <xdr:rowOff>304800</xdr:rowOff>
    </xdr:from>
    <xdr:to>
      <xdr:col>10</xdr:col>
      <xdr:colOff>19050</xdr:colOff>
      <xdr:row>13</xdr:row>
      <xdr:rowOff>76200</xdr:rowOff>
    </xdr:to>
    <xdr:sp macro="[0]!Save_Sale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305C4BFE-EA5F-4873-9542-E3695AB3D209}"/>
            </a:ext>
          </a:extLst>
        </xdr:cNvPr>
        <xdr:cNvSpPr/>
      </xdr:nvSpPr>
      <xdr:spPr>
        <a:xfrm>
          <a:off x="7286625" y="3495675"/>
          <a:ext cx="1200150" cy="400050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rgbClr val="FFFF00"/>
              </a:solidFill>
            </a:rPr>
            <a:t>Save</a:t>
          </a:r>
        </a:p>
      </xdr:txBody>
    </xdr:sp>
    <xdr:clientData/>
  </xdr:twoCellAnchor>
  <xdr:twoCellAnchor editAs="absolute">
    <xdr:from>
      <xdr:col>8</xdr:col>
      <xdr:colOff>66675</xdr:colOff>
      <xdr:row>13</xdr:row>
      <xdr:rowOff>219075</xdr:rowOff>
    </xdr:from>
    <xdr:to>
      <xdr:col>10</xdr:col>
      <xdr:colOff>47625</xdr:colOff>
      <xdr:row>14</xdr:row>
      <xdr:rowOff>304800</xdr:rowOff>
    </xdr:to>
    <xdr:sp macro="[0]!Save_As_PDF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E0265D9E-D263-4E4B-9CA6-2A7C3581FC8E}"/>
            </a:ext>
          </a:extLst>
        </xdr:cNvPr>
        <xdr:cNvSpPr/>
      </xdr:nvSpPr>
      <xdr:spPr>
        <a:xfrm>
          <a:off x="7315200" y="4038600"/>
          <a:ext cx="1200150" cy="400050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solidFill>
                <a:srgbClr val="FFFF00"/>
              </a:solidFill>
            </a:rPr>
            <a:t>Export to PDF</a:t>
          </a:r>
        </a:p>
      </xdr:txBody>
    </xdr:sp>
    <xdr:clientData/>
  </xdr:twoCellAnchor>
  <xdr:twoCellAnchor editAs="absolute">
    <xdr:from>
      <xdr:col>8</xdr:col>
      <xdr:colOff>19050</xdr:colOff>
      <xdr:row>10</xdr:row>
      <xdr:rowOff>142875</xdr:rowOff>
    </xdr:from>
    <xdr:to>
      <xdr:col>10</xdr:col>
      <xdr:colOff>0</xdr:colOff>
      <xdr:row>11</xdr:row>
      <xdr:rowOff>228600</xdr:rowOff>
    </xdr:to>
    <xdr:sp macro="[0]!PrintPreviewRange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76248C2-C0B1-4E94-BD34-35B8235C2F62}"/>
            </a:ext>
          </a:extLst>
        </xdr:cNvPr>
        <xdr:cNvSpPr/>
      </xdr:nvSpPr>
      <xdr:spPr>
        <a:xfrm>
          <a:off x="7267575" y="3019425"/>
          <a:ext cx="1200150" cy="400050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solidFill>
                <a:srgbClr val="FFFF00"/>
              </a:solidFill>
            </a:rPr>
            <a:t>Print Preview</a:t>
          </a:r>
        </a:p>
      </xdr:txBody>
    </xdr:sp>
    <xdr:clientData/>
  </xdr:twoCellAnchor>
  <xdr:twoCellAnchor editAs="oneCell">
    <xdr:from>
      <xdr:col>3</xdr:col>
      <xdr:colOff>1000125</xdr:colOff>
      <xdr:row>0</xdr:row>
      <xdr:rowOff>0</xdr:rowOff>
    </xdr:from>
    <xdr:to>
      <xdr:col>4</xdr:col>
      <xdr:colOff>645507</xdr:colOff>
      <xdr:row>2</xdr:row>
      <xdr:rowOff>66675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2CAC66C5-8678-1FA1-EA92-3A59CE427B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0025" y="0"/>
          <a:ext cx="788382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28575</xdr:colOff>
      <xdr:row>0</xdr:row>
      <xdr:rowOff>38100</xdr:rowOff>
    </xdr:from>
    <xdr:to>
      <xdr:col>2</xdr:col>
      <xdr:colOff>1228725</xdr:colOff>
      <xdr:row>2</xdr:row>
      <xdr:rowOff>57150</xdr:rowOff>
    </xdr:to>
    <xdr:sp macro="" textlink="">
      <xdr:nvSpPr>
        <xdr:cNvPr id="8" name="Rectangle: Rounded Corners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6D0472-0812-4506-AE4A-1E39C47B3386}"/>
            </a:ext>
          </a:extLst>
        </xdr:cNvPr>
        <xdr:cNvSpPr/>
      </xdr:nvSpPr>
      <xdr:spPr>
        <a:xfrm>
          <a:off x="2171700" y="38100"/>
          <a:ext cx="1200150" cy="400050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rgbClr val="FFFF00"/>
              </a:solidFill>
            </a:rPr>
            <a:t>Purchase</a:t>
          </a:r>
        </a:p>
      </xdr:txBody>
    </xdr:sp>
    <xdr:clientData/>
  </xdr:twoCellAnchor>
  <xdr:twoCellAnchor editAs="absolute">
    <xdr:from>
      <xdr:col>2</xdr:col>
      <xdr:colOff>1504950</xdr:colOff>
      <xdr:row>0</xdr:row>
      <xdr:rowOff>57150</xdr:rowOff>
    </xdr:from>
    <xdr:to>
      <xdr:col>3</xdr:col>
      <xdr:colOff>952500</xdr:colOff>
      <xdr:row>2</xdr:row>
      <xdr:rowOff>76200</xdr:rowOff>
    </xdr:to>
    <xdr:sp macro="" textlink="">
      <xdr:nvSpPr>
        <xdr:cNvPr id="9" name="Rectangle: Rounded Corners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69AB4CA-8F08-4418-9156-966B3DBA51B7}"/>
            </a:ext>
          </a:extLst>
        </xdr:cNvPr>
        <xdr:cNvSpPr/>
      </xdr:nvSpPr>
      <xdr:spPr>
        <a:xfrm>
          <a:off x="3648075" y="57150"/>
          <a:ext cx="1200150" cy="400050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rgbClr val="FFFF00"/>
              </a:solidFill>
            </a:rPr>
            <a:t>Sales</a:t>
          </a:r>
        </a:p>
      </xdr:txBody>
    </xdr:sp>
    <xdr:clientData/>
  </xdr:twoCellAnchor>
  <xdr:twoCellAnchor editAs="absolute">
    <xdr:from>
      <xdr:col>3</xdr:col>
      <xdr:colOff>1200150</xdr:colOff>
      <xdr:row>0</xdr:row>
      <xdr:rowOff>76200</xdr:rowOff>
    </xdr:from>
    <xdr:to>
      <xdr:col>4</xdr:col>
      <xdr:colOff>819150</xdr:colOff>
      <xdr:row>2</xdr:row>
      <xdr:rowOff>95250</xdr:rowOff>
    </xdr:to>
    <xdr:sp macro="" textlink="">
      <xdr:nvSpPr>
        <xdr:cNvPr id="10" name="Rectangle: Rounded Corners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9D1DBC0-AC06-4BDF-8821-A654C1506E96}"/>
            </a:ext>
          </a:extLst>
        </xdr:cNvPr>
        <xdr:cNvSpPr/>
      </xdr:nvSpPr>
      <xdr:spPr>
        <a:xfrm>
          <a:off x="5095875" y="76200"/>
          <a:ext cx="1200150" cy="400050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rgbClr val="FFFF00"/>
              </a:solidFill>
            </a:rPr>
            <a:t>Stock</a:t>
          </a:r>
        </a:p>
      </xdr:txBody>
    </xdr:sp>
    <xdr:clientData/>
  </xdr:twoCellAnchor>
  <xdr:twoCellAnchor editAs="oneCell">
    <xdr:from>
      <xdr:col>1</xdr:col>
      <xdr:colOff>762000</xdr:colOff>
      <xdr:row>0</xdr:row>
      <xdr:rowOff>0</xdr:rowOff>
    </xdr:from>
    <xdr:to>
      <xdr:col>1</xdr:col>
      <xdr:colOff>1381125</xdr:colOff>
      <xdr:row>3</xdr:row>
      <xdr:rowOff>47625</xdr:rowOff>
    </xdr:to>
    <xdr:pic>
      <xdr:nvPicPr>
        <xdr:cNvPr id="11" name="Graphic 10" descr="Work from home house with solid fill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7FF8EB0-3005-477A-9868-B9AD0B28D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0"/>
          <a:ext cx="619125" cy="6191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9525</xdr:colOff>
      <xdr:row>0</xdr:row>
      <xdr:rowOff>142875</xdr:rowOff>
    </xdr:from>
    <xdr:to>
      <xdr:col>3</xdr:col>
      <xdr:colOff>1209675</xdr:colOff>
      <xdr:row>2</xdr:row>
      <xdr:rowOff>161925</xdr:rowOff>
    </xdr:to>
    <xdr:sp macro="" textlink="">
      <xdr:nvSpPr>
        <xdr:cNvPr id="13" name="Rectangle: Rounded Corners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CBBFA9-6140-4F3C-A60A-E1D6280E1180}"/>
            </a:ext>
          </a:extLst>
        </xdr:cNvPr>
        <xdr:cNvSpPr/>
      </xdr:nvSpPr>
      <xdr:spPr>
        <a:xfrm>
          <a:off x="2343150" y="142875"/>
          <a:ext cx="1200150" cy="400050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rgbClr val="FFFF00"/>
              </a:solidFill>
            </a:rPr>
            <a:t>Customer</a:t>
          </a:r>
        </a:p>
      </xdr:txBody>
    </xdr:sp>
    <xdr:clientData/>
  </xdr:twoCellAnchor>
  <xdr:twoCellAnchor editAs="absolute">
    <xdr:from>
      <xdr:col>3</xdr:col>
      <xdr:colOff>1419225</xdr:colOff>
      <xdr:row>0</xdr:row>
      <xdr:rowOff>123825</xdr:rowOff>
    </xdr:from>
    <xdr:to>
      <xdr:col>5</xdr:col>
      <xdr:colOff>314325</xdr:colOff>
      <xdr:row>2</xdr:row>
      <xdr:rowOff>142875</xdr:rowOff>
    </xdr:to>
    <xdr:sp macro="" textlink="">
      <xdr:nvSpPr>
        <xdr:cNvPr id="15" name="Rectangle: Rounded Corners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DD688DE-256C-4109-BCD2-FC80325F783C}"/>
            </a:ext>
          </a:extLst>
        </xdr:cNvPr>
        <xdr:cNvSpPr/>
      </xdr:nvSpPr>
      <xdr:spPr>
        <a:xfrm>
          <a:off x="3752850" y="123825"/>
          <a:ext cx="1200150" cy="400050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rgbClr val="FFFF00"/>
              </a:solidFill>
            </a:rPr>
            <a:t>Sales</a:t>
          </a:r>
        </a:p>
      </xdr:txBody>
    </xdr:sp>
    <xdr:clientData/>
  </xdr:twoCellAnchor>
  <xdr:twoCellAnchor editAs="absolute">
    <xdr:from>
      <xdr:col>5</xdr:col>
      <xdr:colOff>561975</xdr:colOff>
      <xdr:row>0</xdr:row>
      <xdr:rowOff>142875</xdr:rowOff>
    </xdr:from>
    <xdr:to>
      <xdr:col>6</xdr:col>
      <xdr:colOff>447675</xdr:colOff>
      <xdr:row>2</xdr:row>
      <xdr:rowOff>161925</xdr:rowOff>
    </xdr:to>
    <xdr:sp macro="" textlink="">
      <xdr:nvSpPr>
        <xdr:cNvPr id="16" name="Rectangle: Rounded Corners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6E6777A-D38F-4717-868C-16DEC6F8553B}"/>
            </a:ext>
          </a:extLst>
        </xdr:cNvPr>
        <xdr:cNvSpPr/>
      </xdr:nvSpPr>
      <xdr:spPr>
        <a:xfrm>
          <a:off x="5200650" y="142875"/>
          <a:ext cx="1200150" cy="400050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rgbClr val="FFFF00"/>
              </a:solidFill>
            </a:rPr>
            <a:t>Stock</a:t>
          </a:r>
        </a:p>
      </xdr:txBody>
    </xdr:sp>
    <xdr:clientData/>
  </xdr:twoCellAnchor>
  <xdr:twoCellAnchor editAs="absolute">
    <xdr:from>
      <xdr:col>3</xdr:col>
      <xdr:colOff>47625</xdr:colOff>
      <xdr:row>12</xdr:row>
      <xdr:rowOff>19050</xdr:rowOff>
    </xdr:from>
    <xdr:to>
      <xdr:col>3</xdr:col>
      <xdr:colOff>1247775</xdr:colOff>
      <xdr:row>14</xdr:row>
      <xdr:rowOff>38100</xdr:rowOff>
    </xdr:to>
    <xdr:sp macro="[0]!Purchase_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9AAD826-173A-4769-8FF2-CCB5C9EB1B86}"/>
            </a:ext>
          </a:extLst>
        </xdr:cNvPr>
        <xdr:cNvSpPr/>
      </xdr:nvSpPr>
      <xdr:spPr>
        <a:xfrm>
          <a:off x="2381250" y="3371850"/>
          <a:ext cx="1200150" cy="400050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rgbClr val="FFFF00"/>
              </a:solidFill>
            </a:rPr>
            <a:t>Purchase</a:t>
          </a:r>
        </a:p>
      </xdr:txBody>
    </xdr:sp>
    <xdr:clientData/>
  </xdr:twoCellAnchor>
  <xdr:twoCellAnchor editAs="oneCell">
    <xdr:from>
      <xdr:col>2</xdr:col>
      <xdr:colOff>161925</xdr:colOff>
      <xdr:row>0</xdr:row>
      <xdr:rowOff>19050</xdr:rowOff>
    </xdr:from>
    <xdr:to>
      <xdr:col>2</xdr:col>
      <xdr:colOff>781050</xdr:colOff>
      <xdr:row>3</xdr:row>
      <xdr:rowOff>66675</xdr:rowOff>
    </xdr:to>
    <xdr:pic>
      <xdr:nvPicPr>
        <xdr:cNvPr id="2" name="Graphic 1" descr="Work from home house with solid fill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DF1E996-699A-4179-922C-5F44D6B241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81125" y="19050"/>
          <a:ext cx="619125" cy="6191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985838</xdr:colOff>
      <xdr:row>1</xdr:row>
      <xdr:rowOff>19050</xdr:rowOff>
    </xdr:from>
    <xdr:to>
      <xdr:col>2</xdr:col>
      <xdr:colOff>545306</xdr:colOff>
      <xdr:row>3</xdr:row>
      <xdr:rowOff>38100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94554BD-B373-4968-9235-C89297F02D6F}"/>
            </a:ext>
          </a:extLst>
        </xdr:cNvPr>
        <xdr:cNvSpPr/>
      </xdr:nvSpPr>
      <xdr:spPr>
        <a:xfrm>
          <a:off x="2076450" y="209550"/>
          <a:ext cx="1200150" cy="400050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rgbClr val="FFFF00"/>
              </a:solidFill>
            </a:rPr>
            <a:t>Customer</a:t>
          </a:r>
        </a:p>
      </xdr:txBody>
    </xdr:sp>
    <xdr:clientData/>
  </xdr:twoCellAnchor>
  <xdr:twoCellAnchor editAs="absolute">
    <xdr:from>
      <xdr:col>2</xdr:col>
      <xdr:colOff>888206</xdr:colOff>
      <xdr:row>1</xdr:row>
      <xdr:rowOff>0</xdr:rowOff>
    </xdr:from>
    <xdr:to>
      <xdr:col>3</xdr:col>
      <xdr:colOff>900112</xdr:colOff>
      <xdr:row>3</xdr:row>
      <xdr:rowOff>19050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D871257-AA91-4A83-AFCE-8BE9F9A9CADE}"/>
            </a:ext>
          </a:extLst>
        </xdr:cNvPr>
        <xdr:cNvSpPr/>
      </xdr:nvSpPr>
      <xdr:spPr>
        <a:xfrm>
          <a:off x="3619500" y="190500"/>
          <a:ext cx="1200150" cy="400050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rgbClr val="FFFF00"/>
              </a:solidFill>
            </a:rPr>
            <a:t>Purchase</a:t>
          </a:r>
        </a:p>
      </xdr:txBody>
    </xdr:sp>
    <xdr:clientData/>
  </xdr:twoCellAnchor>
  <xdr:twoCellAnchor editAs="absolute">
    <xdr:from>
      <xdr:col>3</xdr:col>
      <xdr:colOff>1235868</xdr:colOff>
      <xdr:row>1</xdr:row>
      <xdr:rowOff>38100</xdr:rowOff>
    </xdr:from>
    <xdr:to>
      <xdr:col>4</xdr:col>
      <xdr:colOff>1114425</xdr:colOff>
      <xdr:row>3</xdr:row>
      <xdr:rowOff>57150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EE0F933-5E76-44F3-9828-FE540C87AE72}"/>
            </a:ext>
          </a:extLst>
        </xdr:cNvPr>
        <xdr:cNvSpPr/>
      </xdr:nvSpPr>
      <xdr:spPr>
        <a:xfrm>
          <a:off x="5153025" y="228600"/>
          <a:ext cx="1200150" cy="400050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rgbClr val="FFFF00"/>
              </a:solidFill>
            </a:rPr>
            <a:t>Stock</a:t>
          </a:r>
        </a:p>
      </xdr:txBody>
    </xdr:sp>
    <xdr:clientData/>
  </xdr:twoCellAnchor>
  <xdr:twoCellAnchor editAs="oneCell">
    <xdr:from>
      <xdr:col>1</xdr:col>
      <xdr:colOff>304800</xdr:colOff>
      <xdr:row>0</xdr:row>
      <xdr:rowOff>76200</xdr:rowOff>
    </xdr:from>
    <xdr:to>
      <xdr:col>1</xdr:col>
      <xdr:colOff>923925</xdr:colOff>
      <xdr:row>3</xdr:row>
      <xdr:rowOff>123825</xdr:rowOff>
    </xdr:to>
    <xdr:pic>
      <xdr:nvPicPr>
        <xdr:cNvPr id="6" name="Graphic 5" descr="Work from home house with solid fill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ABD8B9D-F6FD-4A58-839D-D4FF1C17C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90600" y="76200"/>
          <a:ext cx="619125" cy="6191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47625</xdr:colOff>
      <xdr:row>0</xdr:row>
      <xdr:rowOff>66675</xdr:rowOff>
    </xdr:from>
    <xdr:to>
      <xdr:col>3</xdr:col>
      <xdr:colOff>1247775</xdr:colOff>
      <xdr:row>1</xdr:row>
      <xdr:rowOff>123825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248B07-E8CB-4C0A-A0A8-26491E4718BC}"/>
            </a:ext>
          </a:extLst>
        </xdr:cNvPr>
        <xdr:cNvSpPr/>
      </xdr:nvSpPr>
      <xdr:spPr>
        <a:xfrm>
          <a:off x="1876425" y="66675"/>
          <a:ext cx="1200150" cy="400050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rgbClr val="FFFF00"/>
              </a:solidFill>
            </a:rPr>
            <a:t>Customer</a:t>
          </a:r>
        </a:p>
      </xdr:txBody>
    </xdr:sp>
    <xdr:clientData/>
  </xdr:twoCellAnchor>
  <xdr:twoCellAnchor editAs="absolute">
    <xdr:from>
      <xdr:col>4</xdr:col>
      <xdr:colOff>66675</xdr:colOff>
      <xdr:row>0</xdr:row>
      <xdr:rowOff>47625</xdr:rowOff>
    </xdr:from>
    <xdr:to>
      <xdr:col>5</xdr:col>
      <xdr:colOff>180975</xdr:colOff>
      <xdr:row>1</xdr:row>
      <xdr:rowOff>104775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D559ED8-93C7-4114-A9DC-556AE5797B13}"/>
            </a:ext>
          </a:extLst>
        </xdr:cNvPr>
        <xdr:cNvSpPr/>
      </xdr:nvSpPr>
      <xdr:spPr>
        <a:xfrm>
          <a:off x="3419475" y="47625"/>
          <a:ext cx="1200150" cy="400050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rgbClr val="FFFF00"/>
              </a:solidFill>
            </a:rPr>
            <a:t>Purchase</a:t>
          </a:r>
        </a:p>
      </xdr:txBody>
    </xdr:sp>
    <xdr:clientData/>
  </xdr:twoCellAnchor>
  <xdr:twoCellAnchor editAs="absolute">
    <xdr:from>
      <xdr:col>5</xdr:col>
      <xdr:colOff>457200</xdr:colOff>
      <xdr:row>0</xdr:row>
      <xdr:rowOff>66675</xdr:rowOff>
    </xdr:from>
    <xdr:to>
      <xdr:col>6</xdr:col>
      <xdr:colOff>485775</xdr:colOff>
      <xdr:row>1</xdr:row>
      <xdr:rowOff>123825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42ADA15-1D46-4F57-BD1E-1418F0C82C7E}"/>
            </a:ext>
          </a:extLst>
        </xdr:cNvPr>
        <xdr:cNvSpPr/>
      </xdr:nvSpPr>
      <xdr:spPr>
        <a:xfrm>
          <a:off x="4895850" y="66675"/>
          <a:ext cx="1200150" cy="400050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rgbClr val="FFFF00"/>
              </a:solidFill>
            </a:rPr>
            <a:t>Sales</a:t>
          </a:r>
        </a:p>
      </xdr:txBody>
    </xdr:sp>
    <xdr:clientData/>
  </xdr:twoCellAnchor>
  <xdr:twoCellAnchor editAs="oneCell">
    <xdr:from>
      <xdr:col>1</xdr:col>
      <xdr:colOff>447675</xdr:colOff>
      <xdr:row>0</xdr:row>
      <xdr:rowOff>0</xdr:rowOff>
    </xdr:from>
    <xdr:to>
      <xdr:col>2</xdr:col>
      <xdr:colOff>457200</xdr:colOff>
      <xdr:row>2</xdr:row>
      <xdr:rowOff>19050</xdr:rowOff>
    </xdr:to>
    <xdr:pic>
      <xdr:nvPicPr>
        <xdr:cNvPr id="7" name="Graphic 6" descr="Work from home house with solid fill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4EBE890-D2A2-B96B-75F3-1C91A73C8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57275" y="0"/>
          <a:ext cx="619125" cy="6191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07A9F-1268-46DB-ADB5-739BFE26F4CD}">
  <sheetPr codeName="Sheet1"/>
  <dimension ref="A1:F28"/>
  <sheetViews>
    <sheetView topLeftCell="A4" zoomScaleNormal="100" workbookViewId="0">
      <selection sqref="A1:E1"/>
    </sheetView>
  </sheetViews>
  <sheetFormatPr defaultRowHeight="15" x14ac:dyDescent="0.25"/>
  <cols>
    <col min="1" max="1" width="13.28515625" customWidth="1"/>
    <col min="2" max="2" width="21" customWidth="1"/>
    <col min="3" max="3" width="10.85546875" customWidth="1"/>
    <col min="4" max="4" width="17.140625" customWidth="1"/>
    <col min="5" max="5" width="19" customWidth="1"/>
  </cols>
  <sheetData>
    <row r="1" spans="1:6" ht="26.25" x14ac:dyDescent="0.4">
      <c r="A1" s="46" t="s">
        <v>42</v>
      </c>
      <c r="B1" s="47"/>
      <c r="C1" s="47"/>
      <c r="D1" s="47"/>
      <c r="E1" s="48"/>
    </row>
    <row r="2" spans="1:6" ht="32.25" x14ac:dyDescent="0.5">
      <c r="A2" s="49" t="s">
        <v>10</v>
      </c>
      <c r="B2" s="50"/>
      <c r="C2" s="50"/>
      <c r="D2" s="50"/>
      <c r="E2" s="51"/>
    </row>
    <row r="3" spans="1:6" ht="24" x14ac:dyDescent="0.4">
      <c r="A3" s="52" t="s">
        <v>23</v>
      </c>
      <c r="B3" s="53"/>
      <c r="C3" s="53"/>
      <c r="D3" s="53"/>
      <c r="E3" s="54"/>
    </row>
    <row r="4" spans="1:6" ht="21" x14ac:dyDescent="0.35">
      <c r="A4" s="55" t="s">
        <v>21</v>
      </c>
      <c r="B4" s="56"/>
      <c r="C4" s="56"/>
      <c r="D4" s="56"/>
      <c r="E4" s="57"/>
    </row>
    <row r="5" spans="1:6" ht="21" x14ac:dyDescent="0.35">
      <c r="A5" s="43" t="s">
        <v>9</v>
      </c>
      <c r="B5" s="44"/>
      <c r="C5" s="44"/>
      <c r="D5" s="44"/>
      <c r="E5" s="45"/>
    </row>
    <row r="6" spans="1:6" ht="24" x14ac:dyDescent="0.4">
      <c r="A6" s="36" t="s">
        <v>5</v>
      </c>
      <c r="B6" s="37" t="s">
        <v>36</v>
      </c>
      <c r="C6" s="38"/>
      <c r="D6" s="36" t="s">
        <v>7</v>
      </c>
      <c r="E6" s="37">
        <f>MAX(Sales!$A$6:$A$20)+1</f>
        <v>3</v>
      </c>
    </row>
    <row r="7" spans="1:6" ht="24" x14ac:dyDescent="0.4">
      <c r="A7" s="36" t="s">
        <v>6</v>
      </c>
      <c r="B7" s="37">
        <f>VLOOKUP(B6,'Customer Detail'!$B$4:$D$9,2,0)</f>
        <v>9999999994</v>
      </c>
      <c r="C7" s="38"/>
      <c r="D7" s="36" t="s">
        <v>8</v>
      </c>
      <c r="E7" s="39">
        <v>46096</v>
      </c>
    </row>
    <row r="8" spans="1:6" ht="24" x14ac:dyDescent="0.4">
      <c r="A8" s="36" t="s">
        <v>22</v>
      </c>
      <c r="B8" s="37" t="str">
        <f>VLOOKUP(B6,'Customer Detail'!$B$4:$D$9,3,0)</f>
        <v>P Road 509</v>
      </c>
      <c r="C8" s="38"/>
      <c r="D8" s="38"/>
      <c r="E8" s="38"/>
    </row>
    <row r="9" spans="1:6" ht="3.75" customHeight="1" x14ac:dyDescent="0.25">
      <c r="A9" s="1"/>
      <c r="E9" s="2"/>
    </row>
    <row r="10" spans="1:6" ht="26.25" x14ac:dyDescent="0.25">
      <c r="A10" s="10" t="s">
        <v>0</v>
      </c>
      <c r="B10" s="10" t="s">
        <v>1</v>
      </c>
      <c r="C10" s="10" t="s">
        <v>2</v>
      </c>
      <c r="D10" s="10" t="s">
        <v>3</v>
      </c>
      <c r="E10" s="10" t="s">
        <v>4</v>
      </c>
    </row>
    <row r="11" spans="1:6" ht="24.95" customHeight="1" x14ac:dyDescent="0.35">
      <c r="A11" s="22">
        <f>IF(B11="","",ROW()-10)</f>
        <v>1</v>
      </c>
      <c r="B11" s="6" t="s">
        <v>40</v>
      </c>
      <c r="C11" s="22">
        <v>50000</v>
      </c>
      <c r="D11" s="22">
        <v>5</v>
      </c>
      <c r="E11" s="22">
        <f>IFERROR(C11*D11,"")</f>
        <v>250000</v>
      </c>
      <c r="F11" t="str" cm="1">
        <f t="array" ref="F11">IF(Invoice!G4&gt;=5,Out of Stock,"")</f>
        <v/>
      </c>
    </row>
    <row r="12" spans="1:6" ht="24.95" customHeight="1" x14ac:dyDescent="0.35">
      <c r="A12" s="22" t="str">
        <f t="shared" ref="A12:A17" si="0">IF(B12="","",ROW()-10)</f>
        <v/>
      </c>
      <c r="B12" s="6"/>
      <c r="C12" s="22" t="str">
        <f>IFERROR(VLOOKUP(B12,Purchase!G$6:K$22,4,0),"")</f>
        <v/>
      </c>
      <c r="D12" s="22"/>
      <c r="E12" s="22" t="str">
        <f t="shared" ref="E12:E17" si="1">IFERROR(C12*D12,"")</f>
        <v/>
      </c>
      <c r="F12" t="str" cm="1">
        <f t="array" ref="F12">IF(Invoice!G5&gt;=5,Out of Stock,"")</f>
        <v/>
      </c>
    </row>
    <row r="13" spans="1:6" ht="24.95" customHeight="1" x14ac:dyDescent="0.35">
      <c r="A13" s="22" t="str">
        <f t="shared" si="0"/>
        <v/>
      </c>
      <c r="B13" s="6"/>
      <c r="C13" s="22" t="str">
        <f>IFERROR(VLOOKUP(B13,Purchase!G$6:K$22,4,0),"")</f>
        <v/>
      </c>
      <c r="D13" s="22"/>
      <c r="E13" s="22" t="str">
        <f t="shared" si="1"/>
        <v/>
      </c>
      <c r="F13" t="str" cm="1">
        <f t="array" ref="F13">IF(Invoice!G6&gt;=5,Out of Stock,"")</f>
        <v/>
      </c>
    </row>
    <row r="14" spans="1:6" ht="24.95" customHeight="1" x14ac:dyDescent="0.35">
      <c r="A14" s="22" t="str">
        <f t="shared" si="0"/>
        <v/>
      </c>
      <c r="B14" s="6"/>
      <c r="C14" s="22" t="str">
        <f>IFERROR(VLOOKUP(B14,Purchase!G$6:K$22,4,0),"")</f>
        <v/>
      </c>
      <c r="D14" s="22"/>
      <c r="E14" s="22" t="str">
        <f t="shared" si="1"/>
        <v/>
      </c>
      <c r="F14" t="str" cm="1">
        <f t="array" ref="F14">IF(Invoice!G7&gt;=5,Out of Stock,"")</f>
        <v/>
      </c>
    </row>
    <row r="15" spans="1:6" ht="24.95" customHeight="1" x14ac:dyDescent="0.35">
      <c r="A15" s="22" t="str">
        <f t="shared" si="0"/>
        <v/>
      </c>
      <c r="B15" s="6"/>
      <c r="C15" s="22" t="str">
        <f>IFERROR(VLOOKUP(B15,Purchase!G$6:K$22,4,0),"")</f>
        <v/>
      </c>
      <c r="D15" s="22"/>
      <c r="E15" s="22" t="str">
        <f>IFERROR(C15*D15,"")</f>
        <v/>
      </c>
      <c r="F15" t="str" cm="1">
        <f t="array" ref="F15">IF(Invoice!G8&gt;=5,Out of Stock,"")</f>
        <v/>
      </c>
    </row>
    <row r="16" spans="1:6" ht="24.95" customHeight="1" x14ac:dyDescent="0.35">
      <c r="A16" s="22" t="str">
        <f t="shared" si="0"/>
        <v/>
      </c>
      <c r="B16" s="6"/>
      <c r="C16" s="22" t="str">
        <f>IFERROR(VLOOKUP(B16,Purchase!G$6:K$22,4,0),"")</f>
        <v/>
      </c>
      <c r="D16" s="22"/>
      <c r="E16" s="22" t="str">
        <f t="shared" si="1"/>
        <v/>
      </c>
      <c r="F16" t="str" cm="1">
        <f t="array" ref="F16">IF(Invoice!G9&gt;=5,Out of Stock,"")</f>
        <v/>
      </c>
    </row>
    <row r="17" spans="1:6" ht="24.95" customHeight="1" x14ac:dyDescent="0.35">
      <c r="A17" s="22" t="str">
        <f t="shared" si="0"/>
        <v/>
      </c>
      <c r="B17" s="6"/>
      <c r="C17" s="22" t="str">
        <f>IFERROR(VLOOKUP(B17,Purchase!G$6:K$22,4,0),"")</f>
        <v/>
      </c>
      <c r="D17" s="22"/>
      <c r="E17" s="22" t="str">
        <f t="shared" si="1"/>
        <v/>
      </c>
      <c r="F17" t="str" cm="1">
        <f t="array" ref="F17">IF(Invoice!G10&gt;=5,Out of Stock,"")</f>
        <v/>
      </c>
    </row>
    <row r="18" spans="1:6" ht="21" x14ac:dyDescent="0.35">
      <c r="A18" s="1"/>
      <c r="D18" s="11" t="s">
        <v>11</v>
      </c>
      <c r="E18" s="23">
        <f>SUM(E11:E17)</f>
        <v>250000</v>
      </c>
    </row>
    <row r="19" spans="1:6" ht="21" x14ac:dyDescent="0.35">
      <c r="A19" s="1"/>
      <c r="D19" s="11" t="s">
        <v>12</v>
      </c>
      <c r="E19" s="23">
        <f>IF(18="","",E18*8/100)</f>
        <v>20000</v>
      </c>
    </row>
    <row r="20" spans="1:6" ht="21" x14ac:dyDescent="0.35">
      <c r="A20" s="1"/>
      <c r="D20" s="11" t="s">
        <v>13</v>
      </c>
      <c r="E20" s="23">
        <f>IF(E18="","",E18*10/100)</f>
        <v>25000</v>
      </c>
    </row>
    <row r="21" spans="1:6" ht="21" x14ac:dyDescent="0.35">
      <c r="A21" s="1"/>
      <c r="D21" s="11" t="s">
        <v>14</v>
      </c>
      <c r="E21" s="23">
        <f>IF(E18="","",E18*5/100)</f>
        <v>12500</v>
      </c>
    </row>
    <row r="22" spans="1:6" ht="21" x14ac:dyDescent="0.35">
      <c r="A22" s="1"/>
      <c r="D22" s="12" t="s">
        <v>15</v>
      </c>
      <c r="E22" s="24">
        <f>IF(E18="","",SUM(E18:E20)-E21)</f>
        <v>282500</v>
      </c>
    </row>
    <row r="23" spans="1:6" ht="21" x14ac:dyDescent="0.35">
      <c r="A23" s="6" t="s">
        <v>16</v>
      </c>
      <c r="B23" s="42"/>
      <c r="C23" s="42"/>
      <c r="D23" s="42"/>
      <c r="E23" s="42"/>
    </row>
    <row r="24" spans="1:6" ht="21" x14ac:dyDescent="0.35">
      <c r="A24" s="1"/>
      <c r="D24" s="13" t="s">
        <v>17</v>
      </c>
      <c r="E24" s="25">
        <v>30000</v>
      </c>
    </row>
    <row r="25" spans="1:6" ht="21" x14ac:dyDescent="0.35">
      <c r="A25" s="1"/>
      <c r="D25" s="14" t="s">
        <v>18</v>
      </c>
      <c r="E25" s="26">
        <f>E22-E24</f>
        <v>252500</v>
      </c>
    </row>
    <row r="26" spans="1:6" ht="31.5" customHeight="1" x14ac:dyDescent="0.25">
      <c r="A26" s="1"/>
      <c r="E26" s="2"/>
    </row>
    <row r="27" spans="1:6" ht="16.5" customHeight="1" x14ac:dyDescent="0.3">
      <c r="A27" s="1"/>
      <c r="B27" s="9" t="s">
        <v>20</v>
      </c>
      <c r="C27" s="8"/>
      <c r="D27" s="40" t="s">
        <v>19</v>
      </c>
      <c r="E27" s="41"/>
    </row>
    <row r="28" spans="1:6" ht="4.5" customHeight="1" x14ac:dyDescent="0.25">
      <c r="A28" s="3"/>
      <c r="B28" s="4"/>
      <c r="C28" s="4"/>
      <c r="D28" s="4"/>
      <c r="E28" s="5"/>
    </row>
  </sheetData>
  <mergeCells count="7">
    <mergeCell ref="D27:E27"/>
    <mergeCell ref="B23:E23"/>
    <mergeCell ref="A5:E5"/>
    <mergeCell ref="A1:E1"/>
    <mergeCell ref="A2:E2"/>
    <mergeCell ref="A3:E3"/>
    <mergeCell ref="A4:E4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94FC29E-0961-4471-B21D-DC255A0F2612}">
          <x14:formula1>
            <xm:f>'Customer Detail'!$B$5:$B$9</xm:f>
          </x14:formula1>
          <xm:sqref>B6</xm:sqref>
        </x14:dataValidation>
        <x14:dataValidation type="list" allowBlank="1" showInputMessage="1" showErrorMessage="1" xr:uid="{FE26354B-AB7D-49BE-BFAF-833AAE2609E9}">
          <x14:formula1>
            <xm:f>Purchase!$G$7:$G$29</xm:f>
          </x14:formula1>
          <xm:sqref>B11:B17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07B3C-D398-441A-A527-66E85FE3447B}">
  <sheetPr codeName="Sheet2"/>
  <dimension ref="B4:D9"/>
  <sheetViews>
    <sheetView workbookViewId="0">
      <selection activeCell="H2" sqref="H2"/>
    </sheetView>
  </sheetViews>
  <sheetFormatPr defaultRowHeight="15" x14ac:dyDescent="0.25"/>
  <cols>
    <col min="2" max="2" width="23" customWidth="1"/>
    <col min="3" max="3" width="26.28515625" customWidth="1"/>
    <col min="4" max="4" width="23.7109375" customWidth="1"/>
    <col min="5" max="5" width="13.28515625" customWidth="1"/>
    <col min="6" max="6" width="14.28515625" customWidth="1"/>
  </cols>
  <sheetData>
    <row r="4" spans="2:4" ht="28.5" x14ac:dyDescent="0.25">
      <c r="B4" s="19" t="s">
        <v>5</v>
      </c>
      <c r="C4" s="19" t="s">
        <v>26</v>
      </c>
      <c r="D4" s="19" t="s">
        <v>22</v>
      </c>
    </row>
    <row r="5" spans="2:4" ht="27.75" customHeight="1" x14ac:dyDescent="0.25">
      <c r="B5" s="32" t="s">
        <v>27</v>
      </c>
      <c r="C5" s="20">
        <v>9999999991</v>
      </c>
      <c r="D5" s="20" t="s">
        <v>28</v>
      </c>
    </row>
    <row r="6" spans="2:4" ht="28.5" x14ac:dyDescent="0.45">
      <c r="B6" s="33" t="s">
        <v>33</v>
      </c>
      <c r="C6" s="20">
        <v>9999999992</v>
      </c>
      <c r="D6" s="20" t="s">
        <v>29</v>
      </c>
    </row>
    <row r="7" spans="2:4" ht="28.5" x14ac:dyDescent="0.45">
      <c r="B7" s="33" t="s">
        <v>34</v>
      </c>
      <c r="C7" s="20">
        <v>9999999993</v>
      </c>
      <c r="D7" s="20" t="s">
        <v>30</v>
      </c>
    </row>
    <row r="8" spans="2:4" ht="28.5" x14ac:dyDescent="0.45">
      <c r="B8" s="33" t="s">
        <v>36</v>
      </c>
      <c r="C8" s="20">
        <v>9999999994</v>
      </c>
      <c r="D8" s="20" t="s">
        <v>31</v>
      </c>
    </row>
    <row r="9" spans="2:4" ht="28.5" x14ac:dyDescent="0.45">
      <c r="B9" s="33" t="s">
        <v>35</v>
      </c>
      <c r="C9" s="20">
        <v>9999999995</v>
      </c>
      <c r="D9" s="20" t="s">
        <v>32</v>
      </c>
    </row>
  </sheetData>
  <phoneticPr fontId="9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539A9-FDD4-4785-A009-8B445F572DD5}">
  <sheetPr codeName="Sheet3"/>
  <dimension ref="C6:K11"/>
  <sheetViews>
    <sheetView tabSelected="1" workbookViewId="0">
      <selection activeCell="I3" sqref="I3"/>
    </sheetView>
  </sheetViews>
  <sheetFormatPr defaultRowHeight="15" x14ac:dyDescent="0.25"/>
  <cols>
    <col min="3" max="3" width="16.7109375" customWidth="1"/>
    <col min="4" max="4" width="30.5703125" customWidth="1"/>
    <col min="5" max="5" width="4" customWidth="1"/>
    <col min="6" max="6" width="19.7109375" customWidth="1"/>
    <col min="7" max="7" width="24.28515625" customWidth="1"/>
    <col min="8" max="8" width="17.140625" customWidth="1"/>
    <col min="9" max="9" width="13.7109375" customWidth="1"/>
    <col min="10" max="10" width="13.28515625" customWidth="1"/>
    <col min="11" max="11" width="14.28515625" customWidth="1"/>
  </cols>
  <sheetData>
    <row r="6" spans="3:11" ht="24" x14ac:dyDescent="0.4">
      <c r="C6" s="15" t="s">
        <v>8</v>
      </c>
      <c r="D6" s="16"/>
      <c r="F6" s="27" t="s">
        <v>8</v>
      </c>
      <c r="G6" s="27" t="s">
        <v>1</v>
      </c>
      <c r="H6" s="27" t="s">
        <v>24</v>
      </c>
      <c r="I6" s="27" t="s">
        <v>3</v>
      </c>
      <c r="J6" s="27" t="s">
        <v>2</v>
      </c>
      <c r="K6" s="27" t="s">
        <v>25</v>
      </c>
    </row>
    <row r="7" spans="3:11" ht="30" customHeight="1" x14ac:dyDescent="0.4">
      <c r="C7" s="15" t="s">
        <v>1</v>
      </c>
      <c r="D7" s="17"/>
      <c r="F7" s="28">
        <v>46122</v>
      </c>
      <c r="G7" s="29" t="s">
        <v>40</v>
      </c>
      <c r="H7" s="29" t="s">
        <v>41</v>
      </c>
      <c r="I7" s="29">
        <v>50</v>
      </c>
      <c r="J7" s="29">
        <v>30000</v>
      </c>
      <c r="K7" s="29">
        <v>1500000</v>
      </c>
    </row>
    <row r="8" spans="3:11" ht="30" customHeight="1" x14ac:dyDescent="0.4">
      <c r="C8" s="15" t="s">
        <v>24</v>
      </c>
      <c r="D8" s="17"/>
      <c r="F8" s="28">
        <v>46129</v>
      </c>
      <c r="G8" s="29" t="s">
        <v>43</v>
      </c>
      <c r="H8" s="29" t="s">
        <v>44</v>
      </c>
      <c r="I8" s="29">
        <v>10</v>
      </c>
      <c r="J8" s="29">
        <v>15000</v>
      </c>
      <c r="K8" s="29">
        <v>150000</v>
      </c>
    </row>
    <row r="9" spans="3:11" ht="30" customHeight="1" x14ac:dyDescent="0.4">
      <c r="C9" s="15" t="s">
        <v>3</v>
      </c>
      <c r="D9" s="17"/>
      <c r="F9" s="28"/>
      <c r="G9" s="29"/>
      <c r="H9" s="29"/>
      <c r="I9" s="29"/>
      <c r="J9" s="29"/>
      <c r="K9" s="29"/>
    </row>
    <row r="10" spans="3:11" ht="30" customHeight="1" x14ac:dyDescent="0.4">
      <c r="C10" s="15" t="s">
        <v>2</v>
      </c>
      <c r="D10" s="17"/>
      <c r="F10" s="28"/>
      <c r="G10" s="29"/>
      <c r="H10" s="29"/>
      <c r="I10" s="29"/>
      <c r="J10" s="29"/>
      <c r="K10" s="29"/>
    </row>
    <row r="11" spans="3:11" ht="30" customHeight="1" x14ac:dyDescent="0.4">
      <c r="C11" s="15" t="s">
        <v>25</v>
      </c>
      <c r="D11" s="17"/>
      <c r="F11" s="29"/>
      <c r="G11" s="29"/>
      <c r="H11" s="29"/>
      <c r="I11" s="29"/>
      <c r="J11" s="29"/>
      <c r="K11" s="29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95FE9-2A7F-4E4A-B449-E810F3EFD18D}">
  <sheetPr codeName="Sheet4"/>
  <dimension ref="A5:Q22"/>
  <sheetViews>
    <sheetView topLeftCell="B1" zoomScale="80" zoomScaleNormal="80" workbookViewId="0">
      <selection activeCell="B6" sqref="B6:L7"/>
    </sheetView>
  </sheetViews>
  <sheetFormatPr defaultRowHeight="15" x14ac:dyDescent="0.25"/>
  <cols>
    <col min="1" max="1" width="16.42578125" bestFit="1" customWidth="1"/>
    <col min="2" max="2" width="24.5703125" customWidth="1"/>
    <col min="3" max="3" width="17.85546875" customWidth="1"/>
    <col min="4" max="4" width="19.85546875" bestFit="1" customWidth="1"/>
    <col min="5" max="5" width="17.42578125" bestFit="1" customWidth="1"/>
    <col min="6" max="6" width="10.28515625" bestFit="1" customWidth="1"/>
    <col min="7" max="7" width="17" bestFit="1" customWidth="1"/>
    <col min="8" max="8" width="10.5703125" bestFit="1" customWidth="1"/>
    <col min="9" max="9" width="6.42578125" bestFit="1" customWidth="1"/>
    <col min="10" max="10" width="12.7109375" bestFit="1" customWidth="1"/>
    <col min="11" max="11" width="20.5703125" bestFit="1" customWidth="1"/>
    <col min="12" max="12" width="13.7109375" bestFit="1" customWidth="1"/>
    <col min="13" max="13" width="16" bestFit="1" customWidth="1"/>
    <col min="14" max="14" width="19.42578125" bestFit="1" customWidth="1"/>
    <col min="15" max="15" width="17.140625" bestFit="1" customWidth="1"/>
    <col min="16" max="16" width="13.5703125" customWidth="1"/>
    <col min="17" max="17" width="20.7109375" customWidth="1"/>
  </cols>
  <sheetData>
    <row r="5" spans="1:17" ht="24.95" customHeight="1" x14ac:dyDescent="0.4">
      <c r="A5" s="30" t="s">
        <v>7</v>
      </c>
      <c r="B5" s="30" t="s">
        <v>8</v>
      </c>
      <c r="C5" s="30" t="s">
        <v>5</v>
      </c>
      <c r="D5" s="30" t="s">
        <v>6</v>
      </c>
      <c r="E5" s="30" t="s">
        <v>22</v>
      </c>
      <c r="F5" s="31" t="s">
        <v>0</v>
      </c>
      <c r="G5" s="31" t="s">
        <v>1</v>
      </c>
      <c r="H5" s="31" t="s">
        <v>2</v>
      </c>
      <c r="I5" s="31" t="s">
        <v>3</v>
      </c>
      <c r="J5" s="31" t="s">
        <v>4</v>
      </c>
      <c r="K5" s="30" t="s">
        <v>11</v>
      </c>
      <c r="L5" s="30" t="s">
        <v>12</v>
      </c>
      <c r="M5" s="30" t="s">
        <v>13</v>
      </c>
      <c r="N5" s="30" t="s">
        <v>14</v>
      </c>
      <c r="O5" s="30" t="s">
        <v>15</v>
      </c>
      <c r="P5" s="30" t="s">
        <v>17</v>
      </c>
      <c r="Q5" s="30" t="s">
        <v>18</v>
      </c>
    </row>
    <row r="6" spans="1:17" ht="24.95" customHeight="1" x14ac:dyDescent="0.25">
      <c r="A6" s="21">
        <v>1</v>
      </c>
      <c r="B6" s="34">
        <v>46096</v>
      </c>
      <c r="C6" s="21" t="s">
        <v>27</v>
      </c>
      <c r="D6" s="21">
        <v>9999999991</v>
      </c>
      <c r="E6" s="21" t="s">
        <v>28</v>
      </c>
      <c r="F6" s="21">
        <v>1</v>
      </c>
      <c r="G6" s="21" t="s">
        <v>40</v>
      </c>
      <c r="H6" s="21">
        <v>50000</v>
      </c>
      <c r="I6" s="21">
        <v>46</v>
      </c>
      <c r="J6" s="21">
        <v>2300000</v>
      </c>
      <c r="K6" s="21">
        <v>2300000</v>
      </c>
      <c r="L6" s="21">
        <v>184000</v>
      </c>
      <c r="M6" s="21">
        <v>230000</v>
      </c>
      <c r="N6" s="21">
        <v>115000</v>
      </c>
      <c r="O6" s="21">
        <v>2599000</v>
      </c>
      <c r="P6" s="21">
        <v>50000</v>
      </c>
      <c r="Q6" s="21">
        <v>2549000</v>
      </c>
    </row>
    <row r="7" spans="1:17" ht="24.95" customHeight="1" x14ac:dyDescent="0.4">
      <c r="A7" s="7">
        <v>2</v>
      </c>
      <c r="B7" s="35">
        <v>46096</v>
      </c>
      <c r="C7" s="7" t="s">
        <v>36</v>
      </c>
      <c r="D7" s="7">
        <v>9999999994</v>
      </c>
      <c r="E7" s="7" t="s">
        <v>31</v>
      </c>
      <c r="F7" s="7">
        <v>1</v>
      </c>
      <c r="G7" s="7" t="s">
        <v>40</v>
      </c>
      <c r="H7" s="7">
        <v>50000</v>
      </c>
      <c r="I7" s="7">
        <v>5</v>
      </c>
      <c r="J7" s="7">
        <v>250000</v>
      </c>
      <c r="K7" s="7">
        <v>250000</v>
      </c>
      <c r="L7" s="7">
        <v>20000</v>
      </c>
      <c r="M7" s="7">
        <v>25000</v>
      </c>
      <c r="N7" s="7">
        <v>12500</v>
      </c>
      <c r="O7" s="7">
        <v>282500</v>
      </c>
      <c r="P7" s="7">
        <v>30000</v>
      </c>
      <c r="Q7" s="7">
        <v>252500</v>
      </c>
    </row>
    <row r="8" spans="1:17" ht="24.95" customHeight="1" x14ac:dyDescent="0.4">
      <c r="A8" s="7"/>
      <c r="B8" s="35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</row>
    <row r="9" spans="1:17" ht="24.95" customHeight="1" x14ac:dyDescent="0.4">
      <c r="A9" s="7"/>
      <c r="B9" s="35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</row>
    <row r="10" spans="1:17" ht="24.95" customHeight="1" x14ac:dyDescent="0.4">
      <c r="A10" s="7"/>
      <c r="B10" s="35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</row>
    <row r="11" spans="1:17" ht="24.95" customHeight="1" x14ac:dyDescent="0.4">
      <c r="A11" s="7"/>
      <c r="B11" s="35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</row>
    <row r="12" spans="1:17" ht="24.95" customHeight="1" x14ac:dyDescent="0.4">
      <c r="A12" s="7"/>
      <c r="B12" s="35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</row>
    <row r="13" spans="1:17" ht="24.95" customHeight="1" x14ac:dyDescent="0.4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</row>
    <row r="14" spans="1:17" ht="24.95" customHeight="1" x14ac:dyDescent="0.4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</row>
    <row r="15" spans="1:17" ht="24.95" customHeight="1" x14ac:dyDescent="0.4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</row>
    <row r="16" spans="1:17" ht="24.95" customHeight="1" x14ac:dyDescent="0.4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</row>
    <row r="17" spans="1:17" ht="24.95" customHeight="1" x14ac:dyDescent="0.4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</row>
    <row r="18" spans="1:17" ht="24.95" customHeight="1" x14ac:dyDescent="0.4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</row>
    <row r="19" spans="1:17" ht="24.95" customHeight="1" x14ac:dyDescent="0.4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</row>
    <row r="20" spans="1:17" ht="24.95" customHeight="1" x14ac:dyDescent="0.4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</row>
    <row r="21" spans="1:17" ht="24.95" customHeight="1" x14ac:dyDescent="0.4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</row>
    <row r="22" spans="1:17" ht="24.95" customHeight="1" x14ac:dyDescent="0.4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23A14-8340-4CFB-A471-A087316EFEBB}">
  <sheetPr codeName="Sheet5"/>
  <dimension ref="D1:G34"/>
  <sheetViews>
    <sheetView workbookViewId="0">
      <selection activeCell="K6" sqref="K6"/>
    </sheetView>
  </sheetViews>
  <sheetFormatPr defaultRowHeight="15" x14ac:dyDescent="0.25"/>
  <cols>
    <col min="4" max="4" width="22.85546875" customWidth="1"/>
    <col min="5" max="5" width="16.28515625" customWidth="1"/>
    <col min="6" max="6" width="17.5703125" customWidth="1"/>
    <col min="7" max="7" width="16.140625" customWidth="1"/>
  </cols>
  <sheetData>
    <row r="1" spans="4:7" ht="27" customHeight="1" x14ac:dyDescent="0.25"/>
    <row r="2" spans="4:7" ht="20.25" customHeight="1" x14ac:dyDescent="0.25"/>
    <row r="3" spans="4:7" ht="26.25" x14ac:dyDescent="0.25">
      <c r="D3" s="18" t="s">
        <v>1</v>
      </c>
      <c r="E3" s="18" t="s">
        <v>38</v>
      </c>
      <c r="F3" s="18" t="s">
        <v>37</v>
      </c>
      <c r="G3" s="18" t="s">
        <v>39</v>
      </c>
    </row>
    <row r="4" spans="4:7" ht="24.95" customHeight="1" x14ac:dyDescent="0.25">
      <c r="D4" s="21" t="str" cm="1">
        <f t="array" ref="D4:D31">Purchase!G7:G34</f>
        <v>Laptop</v>
      </c>
      <c r="E4" s="21" cm="1">
        <f t="array" ref="E4:E20">Purchase!I7:I23</f>
        <v>50</v>
      </c>
      <c r="F4" s="21" cm="1">
        <f t="array" ref="F4:F34">Sales!$I$6:$I$36</f>
        <v>46</v>
      </c>
      <c r="G4" s="21">
        <f>E4-F4</f>
        <v>4</v>
      </c>
    </row>
    <row r="5" spans="4:7" ht="24.95" customHeight="1" x14ac:dyDescent="0.25">
      <c r="D5" s="21" t="str">
        <v>TAB</v>
      </c>
      <c r="E5" s="21">
        <v>10</v>
      </c>
      <c r="F5" s="21">
        <v>5</v>
      </c>
      <c r="G5" s="21">
        <f t="shared" ref="G5:G14" si="0">E5-F5</f>
        <v>5</v>
      </c>
    </row>
    <row r="6" spans="4:7" ht="24.95" customHeight="1" x14ac:dyDescent="0.25">
      <c r="D6" s="21">
        <v>0</v>
      </c>
      <c r="E6" s="21">
        <v>0</v>
      </c>
      <c r="F6" s="21">
        <v>0</v>
      </c>
      <c r="G6" s="21">
        <f t="shared" si="0"/>
        <v>0</v>
      </c>
    </row>
    <row r="7" spans="4:7" ht="24.95" customHeight="1" x14ac:dyDescent="0.25">
      <c r="D7" s="21">
        <v>0</v>
      </c>
      <c r="E7" s="21">
        <v>0</v>
      </c>
      <c r="F7" s="21">
        <v>0</v>
      </c>
      <c r="G7" s="21">
        <f t="shared" si="0"/>
        <v>0</v>
      </c>
    </row>
    <row r="8" spans="4:7" ht="24.95" customHeight="1" x14ac:dyDescent="0.25">
      <c r="D8" s="21">
        <v>0</v>
      </c>
      <c r="E8" s="21">
        <v>0</v>
      </c>
      <c r="F8" s="21">
        <v>0</v>
      </c>
      <c r="G8" s="21">
        <f t="shared" si="0"/>
        <v>0</v>
      </c>
    </row>
    <row r="9" spans="4:7" ht="24.95" customHeight="1" x14ac:dyDescent="0.25">
      <c r="D9" s="21">
        <v>0</v>
      </c>
      <c r="E9" s="21">
        <v>0</v>
      </c>
      <c r="F9" s="21">
        <v>0</v>
      </c>
      <c r="G9" s="21">
        <f t="shared" si="0"/>
        <v>0</v>
      </c>
    </row>
    <row r="10" spans="4:7" ht="24.95" customHeight="1" x14ac:dyDescent="0.25">
      <c r="D10" s="21">
        <v>0</v>
      </c>
      <c r="E10" s="21">
        <v>0</v>
      </c>
      <c r="F10" s="21">
        <v>0</v>
      </c>
      <c r="G10" s="21">
        <f>E10-F10</f>
        <v>0</v>
      </c>
    </row>
    <row r="11" spans="4:7" ht="24.95" customHeight="1" x14ac:dyDescent="0.25">
      <c r="D11" s="21">
        <v>0</v>
      </c>
      <c r="E11" s="21">
        <v>0</v>
      </c>
      <c r="F11" s="21">
        <v>0</v>
      </c>
      <c r="G11" s="21">
        <f t="shared" si="0"/>
        <v>0</v>
      </c>
    </row>
    <row r="12" spans="4:7" ht="24.95" customHeight="1" x14ac:dyDescent="0.25">
      <c r="D12" s="21">
        <v>0</v>
      </c>
      <c r="E12" s="21">
        <v>0</v>
      </c>
      <c r="F12" s="21">
        <v>0</v>
      </c>
      <c r="G12" s="21">
        <f t="shared" si="0"/>
        <v>0</v>
      </c>
    </row>
    <row r="13" spans="4:7" ht="24.95" customHeight="1" x14ac:dyDescent="0.25">
      <c r="D13" s="21">
        <v>0</v>
      </c>
      <c r="E13" s="21">
        <v>0</v>
      </c>
      <c r="F13" s="21">
        <v>0</v>
      </c>
      <c r="G13" s="21">
        <f t="shared" si="0"/>
        <v>0</v>
      </c>
    </row>
    <row r="14" spans="4:7" ht="24.95" customHeight="1" x14ac:dyDescent="0.25">
      <c r="D14" s="21">
        <v>0</v>
      </c>
      <c r="E14" s="21">
        <v>0</v>
      </c>
      <c r="F14" s="21">
        <v>0</v>
      </c>
      <c r="G14" s="21">
        <f t="shared" si="0"/>
        <v>0</v>
      </c>
    </row>
    <row r="15" spans="4:7" x14ac:dyDescent="0.25">
      <c r="D15">
        <v>0</v>
      </c>
      <c r="E15">
        <v>0</v>
      </c>
      <c r="F15">
        <v>0</v>
      </c>
    </row>
    <row r="16" spans="4:7" x14ac:dyDescent="0.25">
      <c r="D16">
        <v>0</v>
      </c>
      <c r="E16">
        <v>0</v>
      </c>
      <c r="F16">
        <v>0</v>
      </c>
    </row>
    <row r="17" spans="4:6" x14ac:dyDescent="0.25">
      <c r="D17">
        <v>0</v>
      </c>
      <c r="E17">
        <v>0</v>
      </c>
      <c r="F17">
        <v>0</v>
      </c>
    </row>
    <row r="18" spans="4:6" x14ac:dyDescent="0.25">
      <c r="D18">
        <v>0</v>
      </c>
      <c r="E18">
        <v>0</v>
      </c>
      <c r="F18">
        <v>0</v>
      </c>
    </row>
    <row r="19" spans="4:6" x14ac:dyDescent="0.25">
      <c r="D19">
        <v>0</v>
      </c>
      <c r="E19">
        <v>0</v>
      </c>
      <c r="F19">
        <v>0</v>
      </c>
    </row>
    <row r="20" spans="4:6" x14ac:dyDescent="0.25">
      <c r="D20">
        <v>0</v>
      </c>
      <c r="E20">
        <v>0</v>
      </c>
      <c r="F20">
        <v>0</v>
      </c>
    </row>
    <row r="21" spans="4:6" x14ac:dyDescent="0.25">
      <c r="D21">
        <v>0</v>
      </c>
      <c r="F21">
        <v>0</v>
      </c>
    </row>
    <row r="22" spans="4:6" x14ac:dyDescent="0.25">
      <c r="D22">
        <v>0</v>
      </c>
      <c r="F22">
        <v>0</v>
      </c>
    </row>
    <row r="23" spans="4:6" x14ac:dyDescent="0.25">
      <c r="D23">
        <v>0</v>
      </c>
      <c r="F23">
        <v>0</v>
      </c>
    </row>
    <row r="24" spans="4:6" x14ac:dyDescent="0.25">
      <c r="D24">
        <v>0</v>
      </c>
      <c r="F24">
        <v>0</v>
      </c>
    </row>
    <row r="25" spans="4:6" x14ac:dyDescent="0.25">
      <c r="D25">
        <v>0</v>
      </c>
      <c r="F25">
        <v>0</v>
      </c>
    </row>
    <row r="26" spans="4:6" x14ac:dyDescent="0.25">
      <c r="D26">
        <v>0</v>
      </c>
      <c r="F26">
        <v>0</v>
      </c>
    </row>
    <row r="27" spans="4:6" x14ac:dyDescent="0.25">
      <c r="D27">
        <v>0</v>
      </c>
      <c r="F27">
        <v>0</v>
      </c>
    </row>
    <row r="28" spans="4:6" x14ac:dyDescent="0.25">
      <c r="D28">
        <v>0</v>
      </c>
      <c r="F28">
        <v>0</v>
      </c>
    </row>
    <row r="29" spans="4:6" x14ac:dyDescent="0.25">
      <c r="D29">
        <v>0</v>
      </c>
      <c r="F29">
        <v>0</v>
      </c>
    </row>
    <row r="30" spans="4:6" x14ac:dyDescent="0.25">
      <c r="D30">
        <v>0</v>
      </c>
      <c r="F30">
        <v>0</v>
      </c>
    </row>
    <row r="31" spans="4:6" x14ac:dyDescent="0.25">
      <c r="D31">
        <v>0</v>
      </c>
      <c r="F31">
        <v>0</v>
      </c>
    </row>
    <row r="32" spans="4:6" x14ac:dyDescent="0.25">
      <c r="F32">
        <v>0</v>
      </c>
    </row>
    <row r="33" spans="6:6" x14ac:dyDescent="0.25">
      <c r="F33">
        <v>0</v>
      </c>
    </row>
    <row r="34" spans="6:6" x14ac:dyDescent="0.25">
      <c r="F34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Invoice</vt:lpstr>
      <vt:lpstr>Customer Detail</vt:lpstr>
      <vt:lpstr>Purchase</vt:lpstr>
      <vt:lpstr>Sales</vt:lpstr>
      <vt:lpstr>Stock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Amirul Islam</dc:creator>
  <cp:lastModifiedBy>Amirul Islam</cp:lastModifiedBy>
  <cp:lastPrinted>2026-04-17T10:57:22Z</cp:lastPrinted>
  <dcterms:created xsi:type="dcterms:W3CDTF">2026-03-12T15:53:34Z</dcterms:created>
  <dcterms:modified xsi:type="dcterms:W3CDTF">2026-04-17T10:58:16Z</dcterms:modified>
</cp:coreProperties>
</file>