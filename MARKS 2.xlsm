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ertificate Create\Marksheet\"/>
    </mc:Choice>
  </mc:AlternateContent>
  <xr:revisionPtr revIDLastSave="0" documentId="13_ncr:1_{3247B2D7-C284-4F00-BDB5-69675644DEE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RKSHEET" sheetId="4" r:id="rId1"/>
    <sheet name="1st Term" sheetId="6" r:id="rId2"/>
    <sheet name="2nd Term" sheetId="20" r:id="rId3"/>
    <sheet name="3rd Term " sheetId="21" r:id="rId4"/>
    <sheet name="Sheet1" sheetId="19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2" i="4" l="1"/>
  <c r="T13" i="4"/>
  <c r="T14" i="4"/>
  <c r="T15" i="4"/>
  <c r="T16" i="4"/>
  <c r="T17" i="4"/>
  <c r="T11" i="4"/>
  <c r="R11" i="4"/>
  <c r="V11" i="4" s="1"/>
  <c r="R12" i="4"/>
  <c r="V12" i="4" s="1"/>
  <c r="R13" i="4"/>
  <c r="V13" i="4" s="1"/>
  <c r="R14" i="4"/>
  <c r="V14" i="4" s="1"/>
  <c r="R15" i="4"/>
  <c r="V15" i="4" s="1"/>
  <c r="R16" i="4"/>
  <c r="V16" i="4" s="1"/>
  <c r="R17" i="4"/>
  <c r="V17" i="4" s="1"/>
  <c r="O12" i="4"/>
  <c r="O13" i="4"/>
  <c r="O14" i="4"/>
  <c r="O15" i="4"/>
  <c r="O16" i="4"/>
  <c r="O17" i="4"/>
  <c r="O11" i="4"/>
  <c r="J11" i="4"/>
  <c r="M11" i="4"/>
  <c r="Q11" i="4" s="1"/>
  <c r="M12" i="4"/>
  <c r="Q12" i="4" s="1"/>
  <c r="M13" i="4"/>
  <c r="Q13" i="4" s="1"/>
  <c r="M14" i="4"/>
  <c r="Q14" i="4" s="1"/>
  <c r="M15" i="4"/>
  <c r="Q15" i="4" s="1"/>
  <c r="M16" i="4"/>
  <c r="Q16" i="4" s="1"/>
  <c r="M17" i="4"/>
  <c r="Q17" i="4" s="1"/>
  <c r="J12" i="4"/>
  <c r="J13" i="4"/>
  <c r="J14" i="4"/>
  <c r="J15" i="4"/>
  <c r="J16" i="4"/>
  <c r="J17" i="4"/>
  <c r="H17" i="4"/>
  <c r="L17" i="4" s="1"/>
  <c r="W17" i="4" s="1"/>
  <c r="Y17" i="4" s="1"/>
  <c r="AA17" i="4" s="1" a="1"/>
  <c r="AA17" i="4" s="1"/>
  <c r="H16" i="4"/>
  <c r="L16" i="4" s="1"/>
  <c r="W16" i="4" s="1"/>
  <c r="Y16" i="4" s="1"/>
  <c r="AA16" i="4" s="1" a="1"/>
  <c r="AA16" i="4" s="1"/>
  <c r="H15" i="4"/>
  <c r="L15" i="4" s="1"/>
  <c r="W15" i="4" s="1"/>
  <c r="Y15" i="4" s="1"/>
  <c r="AA15" i="4" s="1" a="1"/>
  <c r="AA15" i="4" s="1"/>
  <c r="H13" i="4"/>
  <c r="L13" i="4" s="1"/>
  <c r="W13" i="4" s="1"/>
  <c r="Y13" i="4" s="1"/>
  <c r="AA13" i="4" s="1" a="1"/>
  <c r="AA13" i="4" s="1"/>
  <c r="H14" i="4"/>
  <c r="L14" i="4" s="1"/>
  <c r="W14" i="4" s="1"/>
  <c r="Y14" i="4" s="1"/>
  <c r="AA14" i="4" s="1" a="1"/>
  <c r="AA14" i="4" s="1"/>
  <c r="H12" i="4"/>
  <c r="L12" i="4" s="1"/>
  <c r="W12" i="4" s="1"/>
  <c r="Y12" i="4" s="1"/>
  <c r="AA12" i="4" s="1" a="1"/>
  <c r="AA12" i="4" s="1"/>
  <c r="H11" i="4"/>
  <c r="L11" i="4" s="1"/>
  <c r="W11" i="4" s="1"/>
  <c r="X5" i="4"/>
  <c r="X7" i="4"/>
  <c r="P7" i="4"/>
  <c r="D7" i="4"/>
  <c r="H20" i="4" l="1"/>
  <c r="Q20" i="4" s="1"/>
  <c r="C20" i="4" s="1"/>
  <c r="Y11" i="4"/>
  <c r="AA11" i="4" s="1" a="1"/>
  <c r="AA11" i="4" s="1"/>
  <c r="X20" i="4" l="1" a="1"/>
  <c r="X20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<sst xmlns="http://schemas.openxmlformats.org/spreadsheetml/2006/main" count="720" uniqueCount="149">
  <si>
    <t>ROLL</t>
  </si>
  <si>
    <t>Grade</t>
  </si>
  <si>
    <t>FIRST LANGUAGE</t>
  </si>
  <si>
    <t>SECOND LANGUAGE</t>
  </si>
  <si>
    <t>MATHEMATICS</t>
  </si>
  <si>
    <t>Percentage
(%)</t>
  </si>
  <si>
    <t>FATHER</t>
  </si>
  <si>
    <t>CCE PROGRESS REPORT CARD</t>
  </si>
  <si>
    <t>Summative Evaluation</t>
  </si>
  <si>
    <t xml:space="preserve">Summative Evaluation </t>
  </si>
  <si>
    <t>BENG
(40)</t>
  </si>
  <si>
    <t>ENG
(40)</t>
  </si>
  <si>
    <t>MATH
(40)</t>
  </si>
  <si>
    <t>Ph.Sc
(40)</t>
  </si>
  <si>
    <t>Internal Evaluation (10)</t>
  </si>
  <si>
    <t>BENG
(10)</t>
  </si>
  <si>
    <t>ENG
(10)</t>
  </si>
  <si>
    <t>MATH
(10)</t>
  </si>
  <si>
    <t>Ph.Sc
(10)</t>
  </si>
  <si>
    <t>L.Sc
(10)</t>
  </si>
  <si>
    <t>HIST
( 10)</t>
  </si>
  <si>
    <t>GEO
(10)</t>
  </si>
  <si>
    <t>Guardian's Name</t>
  </si>
  <si>
    <t>L.Sc
(40)</t>
  </si>
  <si>
    <t>HIST
( 40)</t>
  </si>
  <si>
    <t>GEO
(40)</t>
  </si>
  <si>
    <t>Name of the indicators</t>
  </si>
  <si>
    <t>PHYSICAL SCIENCE AND ENVIRONMENT</t>
  </si>
  <si>
    <t>LIFE SCIENCE AND ENVIRONMENT</t>
  </si>
  <si>
    <t>HISTORY AND ENVIRONMENT</t>
  </si>
  <si>
    <t>GEOGRAPHY AND ENVIRONMENT</t>
  </si>
  <si>
    <t>Summative 
Evaluation (40)</t>
  </si>
  <si>
    <t>Internal 
Formative
 Assessment (10)</t>
  </si>
  <si>
    <t>Total</t>
  </si>
  <si>
    <t>OPTIONAL ELECTIVE SUBJECT</t>
  </si>
  <si>
    <t>Name of the Student:</t>
  </si>
  <si>
    <t xml:space="preserve">      Medium : </t>
  </si>
  <si>
    <t>BENGALI</t>
  </si>
  <si>
    <t>IX (A)</t>
  </si>
  <si>
    <t>Guardian's Name :</t>
  </si>
  <si>
    <t>Roll No.:</t>
  </si>
  <si>
    <t>I</t>
  </si>
  <si>
    <t>II</t>
  </si>
  <si>
    <t>III</t>
  </si>
  <si>
    <t>Class :</t>
  </si>
  <si>
    <t>ID :</t>
  </si>
  <si>
    <t xml:space="preserve">                                                                Continuous and Comprehensive Evaluation Progress Report Card</t>
  </si>
  <si>
    <t xml:space="preserve">RESULT </t>
  </si>
  <si>
    <t>GRAND TOTAL :</t>
  </si>
  <si>
    <t>PERCENTAGE :</t>
  </si>
  <si>
    <t>OVER ALL GRADE</t>
  </si>
  <si>
    <t>Qualitative statement about any exeptional ability of the student (Observation and comment)</t>
  </si>
  <si>
    <t>Class Teacher's/Subject Teacher's/Guardian's comment(s) on the student(if necessary)</t>
  </si>
  <si>
    <t>(Guardian's Signature)</t>
  </si>
  <si>
    <t>(Class Teacher's Signature)</t>
  </si>
  <si>
    <t>(Signature of HoI.)</t>
  </si>
  <si>
    <t>CIRCLE : ******,  DISTRICT : ********</t>
  </si>
  <si>
    <t>DISE CODE : ************</t>
  </si>
  <si>
    <t>BSK001001</t>
  </si>
  <si>
    <t>BSK001002</t>
  </si>
  <si>
    <t>BSK001003</t>
  </si>
  <si>
    <t>BSK001004</t>
  </si>
  <si>
    <t>BSK001005</t>
  </si>
  <si>
    <t>BSK001006</t>
  </si>
  <si>
    <t>BSK001007</t>
  </si>
  <si>
    <t>BSK001008</t>
  </si>
  <si>
    <t>BSK001009</t>
  </si>
  <si>
    <t>BSK001010</t>
  </si>
  <si>
    <t>BSK001011</t>
  </si>
  <si>
    <t>BSK001012</t>
  </si>
  <si>
    <t>BSK001013</t>
  </si>
  <si>
    <t>BSK001014</t>
  </si>
  <si>
    <t>BSK001015</t>
  </si>
  <si>
    <t>BSK001016</t>
  </si>
  <si>
    <t>BSK001017</t>
  </si>
  <si>
    <t>BSK001018</t>
  </si>
  <si>
    <t>BSK001019</t>
  </si>
  <si>
    <t>BSK001020</t>
  </si>
  <si>
    <t>BSK001021</t>
  </si>
  <si>
    <t>BSK001022</t>
  </si>
  <si>
    <t>BSK001023</t>
  </si>
  <si>
    <t>BSK001024</t>
  </si>
  <si>
    <t>BSK001025</t>
  </si>
  <si>
    <t>BSK001026</t>
  </si>
  <si>
    <t>BSK001027</t>
  </si>
  <si>
    <t>BSK001028</t>
  </si>
  <si>
    <t>BSK001029</t>
  </si>
  <si>
    <t>BSK001030</t>
  </si>
  <si>
    <t>BSK001031</t>
  </si>
  <si>
    <t>BSK001032</t>
  </si>
  <si>
    <t>BSK001033</t>
  </si>
  <si>
    <t>BSK001034</t>
  </si>
  <si>
    <t>BSK001035</t>
  </si>
  <si>
    <t>BSK001036</t>
  </si>
  <si>
    <t>BSK001037</t>
  </si>
  <si>
    <t>BSK001038</t>
  </si>
  <si>
    <t>BSK001039</t>
  </si>
  <si>
    <t>BSK001040</t>
  </si>
  <si>
    <t>BSK001041</t>
  </si>
  <si>
    <t>BSK001042</t>
  </si>
  <si>
    <t>BSK001043</t>
  </si>
  <si>
    <t>BSK001044</t>
  </si>
  <si>
    <t>BSK001045</t>
  </si>
  <si>
    <t>BSK001046</t>
  </si>
  <si>
    <t>BSK001047</t>
  </si>
  <si>
    <t>BSK001048</t>
  </si>
  <si>
    <t>BSK001049</t>
  </si>
  <si>
    <t>BSK001050</t>
  </si>
  <si>
    <t>Joseph Martinez</t>
  </si>
  <si>
    <t>Michael Wilson</t>
  </si>
  <si>
    <t>James Jackson</t>
  </si>
  <si>
    <t>Daniel Harris</t>
  </si>
  <si>
    <t>Nancy Robinson</t>
  </si>
  <si>
    <t>Alice Johnson</t>
  </si>
  <si>
    <t>Barbara Lee</t>
  </si>
  <si>
    <t>Sarah Miller</t>
  </si>
  <si>
    <t>David Anderson</t>
  </si>
  <si>
    <t>Robert Brown</t>
  </si>
  <si>
    <t>Susan Martin</t>
  </si>
  <si>
    <t>Karen Garcia</t>
  </si>
  <si>
    <t>Emily Davis</t>
  </si>
  <si>
    <t>Linda White</t>
  </si>
  <si>
    <t>Anthony Lewis</t>
  </si>
  <si>
    <t>Matthew Thompson</t>
  </si>
  <si>
    <t>Lisa Rodriguez</t>
  </si>
  <si>
    <t>John Smith</t>
  </si>
  <si>
    <t>Christopher Clark</t>
  </si>
  <si>
    <t>Academic Session - 2025</t>
  </si>
  <si>
    <t>Summative 
Evaluation (90)</t>
  </si>
  <si>
    <t>Father's Name :</t>
  </si>
  <si>
    <t>Students ID</t>
  </si>
  <si>
    <t>Students NAME</t>
  </si>
  <si>
    <t>Lara Thomas</t>
  </si>
  <si>
    <t>Grade_Code</t>
  </si>
  <si>
    <t>Marks</t>
  </si>
  <si>
    <t>A</t>
  </si>
  <si>
    <t>B</t>
  </si>
  <si>
    <t>C</t>
  </si>
  <si>
    <t>D</t>
  </si>
  <si>
    <t>AA</t>
  </si>
  <si>
    <t>Grading scale for Summative Evaluation</t>
  </si>
  <si>
    <t>BENG
(90)</t>
  </si>
  <si>
    <t>ENG
(90)</t>
  </si>
  <si>
    <t>MATH
(90)</t>
  </si>
  <si>
    <t>Ph.Sc
(90)</t>
  </si>
  <si>
    <t>L.Sc
(90)</t>
  </si>
  <si>
    <t>HIST
( 90)</t>
  </si>
  <si>
    <t>GEO
(90)</t>
  </si>
  <si>
    <t xml:space="preserve">t c SCHOOL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</si>
</sst>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;[Red]0.00"/>
    <numFmt numFmtId="165" formatCode="0;[Red]0"/>
  </numFmts>
  <fonts count="19" x14ac:knownFonts="1">
    <font>
      <sz val="11"/>
      <color theme="1"/>
      <name val="Calibri"/>
      <family val="2"/>
      <scheme val="minor"/>
    </font>
    <font>
      <sz val="36"/>
      <color theme="1"/>
      <name val="Algerian"/>
      <family val="5"/>
    </font>
    <font>
      <b/>
      <sz val="14"/>
      <color theme="1"/>
      <name val="Calibri"/>
      <family val="2"/>
      <scheme val="minor"/>
    </font>
    <font>
      <b/>
      <sz val="11"/>
      <color theme="1"/>
      <name val="Cambria"/>
      <family val="1"/>
      <scheme val="major"/>
    </font>
    <font>
      <b/>
      <sz val="10"/>
      <color theme="1"/>
      <name val="Cambria"/>
      <family val="1"/>
      <scheme val="major"/>
    </font>
    <font>
      <sz val="12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b/>
      <sz val="8"/>
      <color theme="1"/>
      <name val="Cambria"/>
      <family val="1"/>
      <scheme val="major"/>
    </font>
    <font>
      <sz val="9"/>
      <color theme="1"/>
      <name val="Cambria"/>
      <family val="1"/>
      <scheme val="major"/>
    </font>
    <font>
      <sz val="8"/>
      <color theme="1"/>
      <name val="Cambria"/>
      <family val="1"/>
      <scheme val="maj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theme="1"/>
      <name val="Cambria"/>
      <family val="1"/>
      <scheme val="maj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vertical="center"/>
    </xf>
    <xf numFmtId="0" fontId="3" fillId="0" borderId="0" xfId="0" applyFont="1"/>
    <xf numFmtId="0" fontId="10" fillId="0" borderId="0" xfId="0" applyFont="1" applyAlignment="1">
      <alignment vertical="top" wrapText="1"/>
    </xf>
    <xf numFmtId="0" fontId="7" fillId="8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left"/>
    </xf>
    <xf numFmtId="0" fontId="7" fillId="0" borderId="1" xfId="0" applyFont="1" applyBorder="1" applyAlignment="1">
      <alignment horizontal="center"/>
    </xf>
    <xf numFmtId="0" fontId="7" fillId="0" borderId="1" xfId="0" applyFont="1" applyBorder="1"/>
    <xf numFmtId="0" fontId="14" fillId="0" borderId="1" xfId="0" applyFont="1" applyBorder="1" applyAlignment="1">
      <alignment horizontal="left"/>
    </xf>
    <xf numFmtId="0" fontId="15" fillId="7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4" fillId="2" borderId="1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14" fillId="5" borderId="1" xfId="0" applyFont="1" applyFill="1" applyBorder="1" applyAlignment="1">
      <alignment horizontal="center"/>
    </xf>
    <xf numFmtId="0" fontId="14" fillId="6" borderId="1" xfId="0" applyFont="1" applyFill="1" applyBorder="1" applyAlignment="1">
      <alignment horizontal="center"/>
    </xf>
    <xf numFmtId="0" fontId="14" fillId="3" borderId="1" xfId="0" applyFont="1" applyFill="1" applyBorder="1" applyAlignment="1">
      <alignment horizontal="center"/>
    </xf>
    <xf numFmtId="0" fontId="14" fillId="7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/>
    </xf>
    <xf numFmtId="0" fontId="14" fillId="0" borderId="5" xfId="0" applyFont="1" applyBorder="1"/>
    <xf numFmtId="0" fontId="14" fillId="0" borderId="1" xfId="0" applyFont="1" applyBorder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17" fillId="9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8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12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wrapText="1"/>
    </xf>
    <xf numFmtId="0" fontId="9" fillId="0" borderId="1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0" xfId="0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7" fillId="9" borderId="2" xfId="0" applyFont="1" applyFill="1" applyBorder="1" applyAlignment="1">
      <alignment horizontal="center" vertical="center" wrapText="1"/>
    </xf>
    <xf numFmtId="0" fontId="17" fillId="9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5" fillId="0" borderId="1" xfId="0" applyFont="1" applyBorder="1" applyAlignment="1">
      <alignment horizontal="center"/>
    </xf>
    <xf numFmtId="0" fontId="16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39687</xdr:colOff>
      <xdr:row>31</xdr:row>
      <xdr:rowOff>230188</xdr:rowOff>
    </xdr:from>
    <xdr:to>
      <xdr:col>10</xdr:col>
      <xdr:colOff>438150</xdr:colOff>
      <xdr:row>32</xdr:row>
      <xdr:rowOff>9525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2905125" y="6865938"/>
          <a:ext cx="1533525" cy="17462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342900</xdr:colOff>
      <xdr:row>32</xdr:row>
      <xdr:rowOff>9525</xdr:rowOff>
    </xdr:from>
    <xdr:to>
      <xdr:col>19</xdr:col>
      <xdr:colOff>38100</xdr:colOff>
      <xdr:row>32</xdr:row>
      <xdr:rowOff>28575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5229225" y="7239000"/>
          <a:ext cx="1600200" cy="19050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206375</xdr:colOff>
      <xdr:row>32</xdr:row>
      <xdr:rowOff>0</xdr:rowOff>
    </xdr:from>
    <xdr:to>
      <xdr:col>26</xdr:col>
      <xdr:colOff>438150</xdr:colOff>
      <xdr:row>32</xdr:row>
      <xdr:rowOff>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8262938" y="6873875"/>
          <a:ext cx="1787525" cy="0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27</xdr:col>
      <xdr:colOff>13190</xdr:colOff>
      <xdr:row>0</xdr:row>
      <xdr:rowOff>114300</xdr:rowOff>
    </xdr:from>
    <xdr:to>
      <xdr:col>28</xdr:col>
      <xdr:colOff>379535</xdr:colOff>
      <xdr:row>1</xdr:row>
      <xdr:rowOff>246185</xdr:rowOff>
    </xdr:to>
    <xdr:sp macro="[0]!Create_All_Marksheets_By_Ro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B91E37C-236C-935A-E08E-6AA505D0880E}"/>
            </a:ext>
          </a:extLst>
        </xdr:cNvPr>
        <xdr:cNvSpPr/>
      </xdr:nvSpPr>
      <xdr:spPr>
        <a:xfrm>
          <a:off x="11252690" y="114300"/>
          <a:ext cx="975945" cy="389060"/>
        </a:xfrm>
        <a:prstGeom prst="roundRect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800"/>
            <a:t>Create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  <pageSetUpPr fitToPage="1"/>
  </sheetPr>
  <dimension ref="A1:AB34"/>
  <sheetViews>
    <sheetView tabSelected="1" zoomScaleNormal="100" zoomScaleSheetLayoutView="100" workbookViewId="0">
      <selection activeCell="A3" sqref="A3:AA3"/>
    </sheetView>
  </sheetViews>
  <sheetFormatPr defaultRowHeight="15" x14ac:dyDescent="0.25"/>
  <cols>
    <col min="1" max="1" width="5.5703125" customWidth="1"/>
    <col min="2" max="2" width="6.42578125" customWidth="1"/>
    <col min="3" max="3" width="4" customWidth="1"/>
    <col min="4" max="5" width="5.42578125" customWidth="1"/>
    <col min="6" max="6" width="7.28515625" customWidth="1"/>
    <col min="7" max="7" width="8.7109375" customWidth="1"/>
    <col min="8" max="8" width="6.28515625" customWidth="1"/>
    <col min="9" max="9" width="5.5703125" customWidth="1"/>
    <col min="10" max="10" width="5.140625" customWidth="1"/>
    <col min="11" max="11" width="7.140625" customWidth="1"/>
    <col min="12" max="12" width="6" customWidth="1"/>
    <col min="13" max="13" width="6.28515625" customWidth="1"/>
    <col min="14" max="14" width="5.42578125" customWidth="1"/>
    <col min="15" max="15" width="7.5703125" customWidth="1"/>
    <col min="16" max="17" width="6.28515625" customWidth="1"/>
    <col min="18" max="18" width="5.42578125" customWidth="1"/>
    <col min="19" max="19" width="4.5703125" customWidth="1"/>
    <col min="20" max="20" width="8.140625" customWidth="1"/>
    <col min="21" max="22" width="5.42578125" customWidth="1"/>
    <col min="23" max="23" width="5.28515625" customWidth="1"/>
    <col min="24" max="24" width="6" customWidth="1"/>
    <col min="25" max="25" width="8" customWidth="1"/>
    <col min="26" max="26" width="4.140625" customWidth="1"/>
    <col min="27" max="27" width="11.28515625" customWidth="1"/>
  </cols>
  <sheetData>
    <row r="1" spans="1:27" ht="20.25" customHeight="1" x14ac:dyDescent="0.25">
      <c r="A1" s="36" t="s">
        <v>7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</row>
    <row r="2" spans="1:27" ht="35.25" customHeight="1" x14ac:dyDescent="0.25">
      <c r="A2" s="37" t="s">
        <v>148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</row>
    <row r="3" spans="1:27" ht="14.25" customHeight="1" x14ac:dyDescent="0.25">
      <c r="A3" s="38" t="s">
        <v>57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</row>
    <row r="4" spans="1:27" x14ac:dyDescent="0.25">
      <c r="A4" s="39" t="s">
        <v>56</v>
      </c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</row>
    <row r="5" spans="1:27" x14ac:dyDescent="0.25">
      <c r="A5" s="39" t="s">
        <v>46</v>
      </c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1"/>
      <c r="W5" s="4" t="s">
        <v>45</v>
      </c>
      <c r="X5" s="50" t="str">
        <f>VLOOKUP($M$7,'1st Term'!$1:$1048576,2,0)</f>
        <v>BSK001050</v>
      </c>
      <c r="Y5" s="50"/>
      <c r="Z5" s="50"/>
      <c r="AA5" s="50"/>
    </row>
    <row r="6" spans="1:27" x14ac:dyDescent="0.25">
      <c r="A6" s="39" t="s">
        <v>127</v>
      </c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</row>
    <row r="7" spans="1:27" x14ac:dyDescent="0.25">
      <c r="A7" s="53" t="s">
        <v>35</v>
      </c>
      <c r="B7" s="53"/>
      <c r="C7" s="53"/>
      <c r="D7" s="51" t="str">
        <f>VLOOKUP($M$7,'1st Term'!$1:$1048576,3,0)</f>
        <v>Lisa Rodriguez</v>
      </c>
      <c r="E7" s="51"/>
      <c r="F7" s="51"/>
      <c r="G7" s="10" t="s">
        <v>36</v>
      </c>
      <c r="H7" s="7" t="s">
        <v>37</v>
      </c>
      <c r="I7" s="10" t="s">
        <v>44</v>
      </c>
      <c r="J7" s="7" t="s">
        <v>38</v>
      </c>
      <c r="K7" s="11" t="s">
        <v>40</v>
      </c>
      <c r="L7" s="11"/>
      <c r="M7" s="6">
        <v>50</v>
      </c>
      <c r="N7" s="52" t="s">
        <v>129</v>
      </c>
      <c r="O7" s="52"/>
      <c r="P7" s="51" t="str">
        <f>VLOOKUP($M$7,'1st Term'!$1:$1048576,4,0)</f>
        <v>Anthony Lewis</v>
      </c>
      <c r="Q7" s="51"/>
      <c r="R7" s="51"/>
      <c r="S7" s="51"/>
      <c r="T7" s="51"/>
      <c r="U7" s="54" t="s">
        <v>39</v>
      </c>
      <c r="V7" s="54"/>
      <c r="W7" s="54"/>
      <c r="X7" s="40" t="str">
        <f>VLOOKUP($M$7,'1st Term'!$1:$1048576,5,0)</f>
        <v>Anthony Lewis</v>
      </c>
      <c r="Y7" s="40"/>
      <c r="Z7" s="40"/>
      <c r="AA7" s="40"/>
    </row>
    <row r="8" spans="1:27" ht="18.75" x14ac:dyDescent="0.3">
      <c r="A8" s="42" t="s">
        <v>8</v>
      </c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40"/>
      <c r="B9" s="40"/>
      <c r="C9" s="40"/>
      <c r="D9" s="40"/>
      <c r="E9" s="40"/>
      <c r="F9" s="40"/>
      <c r="G9" s="40"/>
      <c r="H9" s="44" t="s">
        <v>41</v>
      </c>
      <c r="I9" s="44"/>
      <c r="J9" s="44"/>
      <c r="K9" s="44"/>
      <c r="L9" s="32"/>
      <c r="M9" s="44" t="s">
        <v>42</v>
      </c>
      <c r="N9" s="44"/>
      <c r="O9" s="44"/>
      <c r="P9" s="44"/>
      <c r="Q9" s="32"/>
      <c r="R9" s="44" t="s">
        <v>43</v>
      </c>
      <c r="S9" s="44"/>
      <c r="T9" s="44"/>
      <c r="U9" s="44"/>
      <c r="V9" s="32"/>
      <c r="W9" s="44" t="s">
        <v>33</v>
      </c>
      <c r="X9" s="44"/>
      <c r="Y9" s="47"/>
      <c r="Z9" s="48"/>
      <c r="AA9" s="1"/>
    </row>
    <row r="10" spans="1:27" ht="33.75" customHeight="1" x14ac:dyDescent="0.25">
      <c r="A10" s="43" t="s">
        <v>26</v>
      </c>
      <c r="B10" s="43"/>
      <c r="C10" s="43"/>
      <c r="D10" s="43"/>
      <c r="E10" s="43"/>
      <c r="F10" s="43"/>
      <c r="G10" s="43"/>
      <c r="H10" s="45" t="s">
        <v>31</v>
      </c>
      <c r="I10" s="46"/>
      <c r="J10" s="57" t="s">
        <v>32</v>
      </c>
      <c r="K10" s="58"/>
      <c r="L10" s="7" t="s">
        <v>33</v>
      </c>
      <c r="M10" s="45" t="s">
        <v>31</v>
      </c>
      <c r="N10" s="46"/>
      <c r="O10" s="57" t="s">
        <v>32</v>
      </c>
      <c r="P10" s="58"/>
      <c r="Q10" s="7" t="s">
        <v>33</v>
      </c>
      <c r="R10" s="45" t="s">
        <v>128</v>
      </c>
      <c r="S10" s="46"/>
      <c r="T10" s="57" t="s">
        <v>32</v>
      </c>
      <c r="U10" s="58"/>
      <c r="V10" s="7" t="s">
        <v>33</v>
      </c>
      <c r="W10" s="67">
        <v>200</v>
      </c>
      <c r="X10" s="67"/>
      <c r="Y10" s="55" t="s">
        <v>5</v>
      </c>
      <c r="Z10" s="56"/>
      <c r="AA10" s="3" t="s">
        <v>1</v>
      </c>
    </row>
    <row r="11" spans="1:27" ht="20.100000000000001" customHeight="1" x14ac:dyDescent="0.25">
      <c r="A11" s="49" t="s">
        <v>2</v>
      </c>
      <c r="B11" s="49"/>
      <c r="C11" s="49"/>
      <c r="D11" s="49"/>
      <c r="E11" s="49"/>
      <c r="F11" s="49"/>
      <c r="G11" s="49"/>
      <c r="H11" s="47">
        <f>VLOOKUP($M$7,'1st Term'!$1:$1048576,6,0)</f>
        <v>36</v>
      </c>
      <c r="I11" s="48"/>
      <c r="J11" s="40">
        <f>VLOOKUP($M$7,'1st Term'!$1:$1048576,ROWS('1st Term'!$V$3:V16),0)</f>
        <v>9</v>
      </c>
      <c r="K11" s="40"/>
      <c r="L11" s="2">
        <f>SUM(H11:K11)</f>
        <v>45</v>
      </c>
      <c r="M11" s="40">
        <f>VLOOKUP($M$7,'2nd Term'!$1:$1048576,ROWS('2nd Term'!$V$3:V8),0)</f>
        <v>36</v>
      </c>
      <c r="N11" s="40"/>
      <c r="O11" s="40">
        <f>VLOOKUP($M$7,'2nd Term'!$1:$1048576,ROWS('2nd Term'!$V$3:V16),0)</f>
        <v>10</v>
      </c>
      <c r="P11" s="40"/>
      <c r="Q11" s="2">
        <f>SUM(M11:P11)</f>
        <v>46</v>
      </c>
      <c r="R11" s="40">
        <f>VLOOKUP($M$7,'3rd Term '!$1:$1048576,ROWS('3rd Term '!$V$3:V8),0)</f>
        <v>99</v>
      </c>
      <c r="S11" s="40"/>
      <c r="T11" s="40">
        <f>VLOOKUP($M$7,'3rd Term '!$1:$1048576,ROWS('3rd Term '!$V$3:V16),0)</f>
        <v>7</v>
      </c>
      <c r="U11" s="40"/>
      <c r="V11" s="2">
        <f>SUM(R11:U11)</f>
        <v>106</v>
      </c>
      <c r="W11" s="40">
        <f>SUM(L11,Q11,V11)</f>
        <v>197</v>
      </c>
      <c r="X11" s="40"/>
      <c r="Y11" s="41">
        <f>W11/200*100</f>
        <v>98.5</v>
      </c>
      <c r="Z11" s="41"/>
      <c r="AA11" s="2" t="str" cm="1">
        <f t="array" ref="AA11">_xlfn.IFS(Y11&gt;=80,"AA",Y11&gt;=60,"A",Y11&gt;=45,"B",Y11&gt;=25,"C",Y11&lt;25,"D")</f>
        <v>AA</v>
      </c>
    </row>
    <row r="12" spans="1:27" ht="20.100000000000001" customHeight="1" x14ac:dyDescent="0.25">
      <c r="A12" s="49" t="s">
        <v>3</v>
      </c>
      <c r="B12" s="49"/>
      <c r="C12" s="49"/>
      <c r="D12" s="49"/>
      <c r="E12" s="49"/>
      <c r="F12" s="49"/>
      <c r="G12" s="49"/>
      <c r="H12" s="47">
        <f>VLOOKUP($M$7,'1st Term'!$1:$1048576,7,0)</f>
        <v>34</v>
      </c>
      <c r="I12" s="48"/>
      <c r="J12" s="40">
        <f>VLOOKUP($M$7,'1st Term'!$1:$1048576,ROWS('1st Term'!$V$3:V17),0)</f>
        <v>9</v>
      </c>
      <c r="K12" s="40"/>
      <c r="L12" s="2">
        <f t="shared" ref="L12:L17" si="0">SUM(H12:K12)</f>
        <v>43</v>
      </c>
      <c r="M12" s="40">
        <f>VLOOKUP($M$7,'2nd Term'!$1:$1048576,ROWS('2nd Term'!$V$3:V9),0)</f>
        <v>27</v>
      </c>
      <c r="N12" s="40"/>
      <c r="O12" s="40">
        <f>VLOOKUP($M$7,'2nd Term'!$1:$1048576,ROWS('2nd Term'!$V$3:V17),0)</f>
        <v>7</v>
      </c>
      <c r="P12" s="40"/>
      <c r="Q12" s="2">
        <f t="shared" ref="Q12:Q17" si="1">SUM(M12:P12)</f>
        <v>34</v>
      </c>
      <c r="R12" s="40">
        <f>VLOOKUP($M$7,'3rd Term '!$1:$1048576,ROWS('3rd Term '!$V$3:V9),0)</f>
        <v>79</v>
      </c>
      <c r="S12" s="40"/>
      <c r="T12" s="40">
        <f>VLOOKUP($M$7,'3rd Term '!$1:$1048576,ROWS('3rd Term '!$V$3:V17),0)</f>
        <v>8</v>
      </c>
      <c r="U12" s="40"/>
      <c r="V12" s="2">
        <f t="shared" ref="V12:V17" si="2">SUM(R12:U12)</f>
        <v>87</v>
      </c>
      <c r="W12" s="40">
        <f t="shared" ref="W12:W17" si="3">SUM(L12,Q12,V12)</f>
        <v>164</v>
      </c>
      <c r="X12" s="40"/>
      <c r="Y12" s="41">
        <f t="shared" ref="Y12:Y17" si="4">W12/200*100</f>
        <v>82</v>
      </c>
      <c r="Z12" s="41"/>
      <c r="AA12" s="2" t="str" cm="1">
        <f t="array" ref="AA12">_xlfn.IFS(Y12&gt;=80,"AA",Y12&gt;=60,"A",Y12&gt;=45,"B",Y12&gt;=25,"C",Y12&lt;25,"D")</f>
        <v>AA</v>
      </c>
    </row>
    <row r="13" spans="1:27" ht="20.100000000000001" customHeight="1" x14ac:dyDescent="0.25">
      <c r="A13" s="49" t="s">
        <v>4</v>
      </c>
      <c r="B13" s="49"/>
      <c r="C13" s="49"/>
      <c r="D13" s="49"/>
      <c r="E13" s="49"/>
      <c r="F13" s="49"/>
      <c r="G13" s="49"/>
      <c r="H13" s="47">
        <f>VLOOKUP($M$7,'1st Term'!$1:$1048576,8,0)</f>
        <v>34</v>
      </c>
      <c r="I13" s="48"/>
      <c r="J13" s="40">
        <f>VLOOKUP($M$7,'1st Term'!$1:$1048576,ROWS('1st Term'!$V$3:V18),0)</f>
        <v>10</v>
      </c>
      <c r="K13" s="40"/>
      <c r="L13" s="2">
        <f t="shared" si="0"/>
        <v>44</v>
      </c>
      <c r="M13" s="40">
        <f>VLOOKUP($M$7,'2nd Term'!$1:$1048576,ROWS('2nd Term'!$V$3:V10),0)</f>
        <v>30</v>
      </c>
      <c r="N13" s="40"/>
      <c r="O13" s="40">
        <f>VLOOKUP($M$7,'2nd Term'!$1:$1048576,ROWS('2nd Term'!$V$3:V18),0)</f>
        <v>10</v>
      </c>
      <c r="P13" s="40"/>
      <c r="Q13" s="2">
        <f t="shared" si="1"/>
        <v>40</v>
      </c>
      <c r="R13" s="40">
        <f>VLOOKUP($M$7,'3rd Term '!$1:$1048576,ROWS('3rd Term '!$V$3:V10),0)</f>
        <v>66</v>
      </c>
      <c r="S13" s="40"/>
      <c r="T13" s="40">
        <f>VLOOKUP($M$7,'3rd Term '!$1:$1048576,ROWS('3rd Term '!$V$3:V18),0)</f>
        <v>8</v>
      </c>
      <c r="U13" s="40"/>
      <c r="V13" s="2">
        <f t="shared" si="2"/>
        <v>74</v>
      </c>
      <c r="W13" s="40">
        <f t="shared" si="3"/>
        <v>158</v>
      </c>
      <c r="X13" s="40"/>
      <c r="Y13" s="41">
        <f t="shared" si="4"/>
        <v>79</v>
      </c>
      <c r="Z13" s="41"/>
      <c r="AA13" s="2" t="str" cm="1">
        <f t="array" ref="AA13">_xlfn.IFS(Y13&gt;=80,"AA",Y13&gt;=60,"A",Y13&gt;=45,"B",Y13&gt;=25,"C",Y13&lt;25,"D")</f>
        <v>A</v>
      </c>
    </row>
    <row r="14" spans="1:27" ht="20.100000000000001" customHeight="1" x14ac:dyDescent="0.25">
      <c r="A14" s="49" t="s">
        <v>27</v>
      </c>
      <c r="B14" s="49"/>
      <c r="C14" s="49"/>
      <c r="D14" s="49"/>
      <c r="E14" s="49"/>
      <c r="F14" s="49"/>
      <c r="G14" s="49"/>
      <c r="H14" s="47">
        <f>VLOOKUP($M$7,'1st Term'!$1:$1048576,9,0)</f>
        <v>37</v>
      </c>
      <c r="I14" s="48"/>
      <c r="J14" s="40">
        <f>VLOOKUP($M$7,'1st Term'!$1:$1048576,ROWS('1st Term'!$V$3:V19),0)</f>
        <v>8</v>
      </c>
      <c r="K14" s="40"/>
      <c r="L14" s="2">
        <f t="shared" si="0"/>
        <v>45</v>
      </c>
      <c r="M14" s="40">
        <f>VLOOKUP($M$7,'2nd Term'!$1:$1048576,ROWS('2nd Term'!$V$3:V11),0)</f>
        <v>34</v>
      </c>
      <c r="N14" s="40"/>
      <c r="O14" s="40">
        <f>VLOOKUP($M$7,'2nd Term'!$1:$1048576,ROWS('2nd Term'!$V$3:V19),0)</f>
        <v>7</v>
      </c>
      <c r="P14" s="40"/>
      <c r="Q14" s="2">
        <f t="shared" si="1"/>
        <v>41</v>
      </c>
      <c r="R14" s="40">
        <f>VLOOKUP($M$7,'3rd Term '!$1:$1048576,ROWS('3rd Term '!$V$3:V11),0)</f>
        <v>69</v>
      </c>
      <c r="S14" s="40"/>
      <c r="T14" s="40">
        <f>VLOOKUP($M$7,'3rd Term '!$1:$1048576,ROWS('3rd Term '!$V$3:V19),0)</f>
        <v>10</v>
      </c>
      <c r="U14" s="40"/>
      <c r="V14" s="2">
        <f t="shared" si="2"/>
        <v>79</v>
      </c>
      <c r="W14" s="40">
        <f t="shared" si="3"/>
        <v>165</v>
      </c>
      <c r="X14" s="40"/>
      <c r="Y14" s="41">
        <f t="shared" si="4"/>
        <v>82.5</v>
      </c>
      <c r="Z14" s="41"/>
      <c r="AA14" s="2" t="str" cm="1">
        <f t="array" ref="AA14">_xlfn.IFS(Y14&gt;=80,"AA",Y14&gt;=60,"A",Y14&gt;=45,"B",Y14&gt;=25,"C",Y14&lt;25,"D")</f>
        <v>AA</v>
      </c>
    </row>
    <row r="15" spans="1:27" ht="20.100000000000001" customHeight="1" x14ac:dyDescent="0.25">
      <c r="A15" s="49" t="s">
        <v>28</v>
      </c>
      <c r="B15" s="49"/>
      <c r="C15" s="49"/>
      <c r="D15" s="49"/>
      <c r="E15" s="49"/>
      <c r="F15" s="49"/>
      <c r="G15" s="49"/>
      <c r="H15" s="47">
        <f>VLOOKUP($M$7,'1st Term'!$1:$1048576,10,0)</f>
        <v>38</v>
      </c>
      <c r="I15" s="48"/>
      <c r="J15" s="40">
        <f>VLOOKUP($M$7,'1st Term'!$1:$1048576,ROWS('1st Term'!$V$3:V20),0)</f>
        <v>9</v>
      </c>
      <c r="K15" s="40"/>
      <c r="L15" s="2">
        <f t="shared" si="0"/>
        <v>47</v>
      </c>
      <c r="M15" s="40">
        <f>VLOOKUP($M$7,'2nd Term'!$1:$1048576,ROWS('2nd Term'!$V$3:V12),0)</f>
        <v>30</v>
      </c>
      <c r="N15" s="40"/>
      <c r="O15" s="40">
        <f>VLOOKUP($M$7,'2nd Term'!$1:$1048576,ROWS('2nd Term'!$V$3:V20),0)</f>
        <v>7</v>
      </c>
      <c r="P15" s="40"/>
      <c r="Q15" s="2">
        <f t="shared" si="1"/>
        <v>37</v>
      </c>
      <c r="R15" s="40">
        <f>VLOOKUP($M$7,'3rd Term '!$1:$1048576,ROWS('3rd Term '!$V$3:V12),0)</f>
        <v>80</v>
      </c>
      <c r="S15" s="40"/>
      <c r="T15" s="40">
        <f>VLOOKUP($M$7,'3rd Term '!$1:$1048576,ROWS('3rd Term '!$V$3:V20),0)</f>
        <v>8</v>
      </c>
      <c r="U15" s="40"/>
      <c r="V15" s="2">
        <f t="shared" si="2"/>
        <v>88</v>
      </c>
      <c r="W15" s="40">
        <f t="shared" si="3"/>
        <v>172</v>
      </c>
      <c r="X15" s="40"/>
      <c r="Y15" s="41">
        <f t="shared" si="4"/>
        <v>86</v>
      </c>
      <c r="Z15" s="41"/>
      <c r="AA15" s="2" t="str" cm="1">
        <f t="array" ref="AA15">_xlfn.IFS(Y15&gt;=80,"AA",Y15&gt;=60,"A",Y15&gt;=45,"B",Y15&gt;=25,"C",Y15&lt;25,"D")</f>
        <v>AA</v>
      </c>
    </row>
    <row r="16" spans="1:27" ht="20.100000000000001" customHeight="1" x14ac:dyDescent="0.25">
      <c r="A16" s="49" t="s">
        <v>29</v>
      </c>
      <c r="B16" s="49"/>
      <c r="C16" s="49"/>
      <c r="D16" s="49"/>
      <c r="E16" s="49"/>
      <c r="F16" s="49"/>
      <c r="G16" s="49"/>
      <c r="H16" s="47">
        <f>VLOOKUP($M$7,'1st Term'!$1:$1048576,11,0)</f>
        <v>37</v>
      </c>
      <c r="I16" s="48"/>
      <c r="J16" s="40">
        <f>VLOOKUP($M$7,'1st Term'!$1:$1048576,ROWS('1st Term'!$V$3:V21),0)</f>
        <v>9</v>
      </c>
      <c r="K16" s="40"/>
      <c r="L16" s="2">
        <f t="shared" si="0"/>
        <v>46</v>
      </c>
      <c r="M16" s="40">
        <f>VLOOKUP($M$7,'2nd Term'!$1:$1048576,ROWS('2nd Term'!$V$3:V13),0)</f>
        <v>84</v>
      </c>
      <c r="N16" s="40"/>
      <c r="O16" s="40">
        <f>VLOOKUP($M$7,'2nd Term'!$1:$1048576,ROWS('2nd Term'!$V$3:V21),0)</f>
        <v>8</v>
      </c>
      <c r="P16" s="40"/>
      <c r="Q16" s="2">
        <f t="shared" si="1"/>
        <v>92</v>
      </c>
      <c r="R16" s="40">
        <f>VLOOKUP($M$7,'3rd Term '!$1:$1048576,ROWS('3rd Term '!$V$3:V13),0)</f>
        <v>61</v>
      </c>
      <c r="S16" s="40"/>
      <c r="T16" s="40">
        <f>VLOOKUP($M$7,'3rd Term '!$1:$1048576,ROWS('3rd Term '!$V$3:V21),0)</f>
        <v>9</v>
      </c>
      <c r="U16" s="40"/>
      <c r="V16" s="2">
        <f t="shared" si="2"/>
        <v>70</v>
      </c>
      <c r="W16" s="40">
        <f t="shared" si="3"/>
        <v>208</v>
      </c>
      <c r="X16" s="40"/>
      <c r="Y16" s="41">
        <f t="shared" si="4"/>
        <v>104</v>
      </c>
      <c r="Z16" s="41"/>
      <c r="AA16" s="2" t="str" cm="1">
        <f t="array" ref="AA16">_xlfn.IFS(Y16&gt;=80,"AA",Y16&gt;=60,"A",Y16&gt;=45,"B",Y16&gt;=25,"C",Y16&lt;25,"D")</f>
        <v>AA</v>
      </c>
    </row>
    <row r="17" spans="1:28" ht="20.100000000000001" customHeight="1" x14ac:dyDescent="0.25">
      <c r="A17" s="49" t="s">
        <v>30</v>
      </c>
      <c r="B17" s="49"/>
      <c r="C17" s="49"/>
      <c r="D17" s="49"/>
      <c r="E17" s="49"/>
      <c r="F17" s="49"/>
      <c r="G17" s="49"/>
      <c r="H17" s="47">
        <f>VLOOKUP($M$7,'1st Term'!$1:$1048576,12,0)</f>
        <v>37</v>
      </c>
      <c r="I17" s="48"/>
      <c r="J17" s="40">
        <f>VLOOKUP($M$7,'1st Term'!$1:$1048576,ROWS('1st Term'!$V$3:V22),0)</f>
        <v>8</v>
      </c>
      <c r="K17" s="40"/>
      <c r="L17" s="2">
        <f t="shared" si="0"/>
        <v>45</v>
      </c>
      <c r="M17" s="40">
        <f>VLOOKUP($M$7,'2nd Term'!$1:$1048576,ROWS('2nd Term'!$V$3:V14),0)</f>
        <v>39</v>
      </c>
      <c r="N17" s="40"/>
      <c r="O17" s="40">
        <f>VLOOKUP($M$7,'2nd Term'!$1:$1048576,ROWS('2nd Term'!$V$3:V22),0)</f>
        <v>7</v>
      </c>
      <c r="P17" s="40"/>
      <c r="Q17" s="2">
        <f t="shared" si="1"/>
        <v>46</v>
      </c>
      <c r="R17" s="40">
        <f>VLOOKUP($M$7,'3rd Term '!$1:$1048576,ROWS('3rd Term '!$V$3:V14),0)</f>
        <v>52</v>
      </c>
      <c r="S17" s="40"/>
      <c r="T17" s="40">
        <f>VLOOKUP($M$7,'3rd Term '!$1:$1048576,ROWS('3rd Term '!$V$3:V22),0)</f>
        <v>9</v>
      </c>
      <c r="U17" s="40"/>
      <c r="V17" s="2">
        <f t="shared" si="2"/>
        <v>61</v>
      </c>
      <c r="W17" s="40">
        <f t="shared" si="3"/>
        <v>152</v>
      </c>
      <c r="X17" s="40"/>
      <c r="Y17" s="41">
        <f t="shared" si="4"/>
        <v>76</v>
      </c>
      <c r="Z17" s="41"/>
      <c r="AA17" s="2" t="str" cm="1">
        <f t="array" ref="AA17">_xlfn.IFS(Y17&gt;=80,"AA",Y17&gt;=60,"A",Y17&gt;=45,"B",Y17&gt;=25,"C",Y17&lt;25,"D")</f>
        <v>A</v>
      </c>
    </row>
    <row r="18" spans="1:28" ht="20.100000000000001" customHeight="1" x14ac:dyDescent="0.25">
      <c r="A18" s="49" t="s">
        <v>34</v>
      </c>
      <c r="B18" s="49"/>
      <c r="C18" s="49"/>
      <c r="D18" s="49"/>
      <c r="E18" s="49"/>
      <c r="F18" s="49"/>
      <c r="G18" s="49"/>
      <c r="H18" s="47"/>
      <c r="I18" s="48"/>
      <c r="J18" s="40"/>
      <c r="K18" s="40"/>
      <c r="L18" s="2"/>
      <c r="M18" s="40"/>
      <c r="N18" s="40"/>
      <c r="O18" s="40"/>
      <c r="P18" s="40"/>
      <c r="Q18" s="2"/>
      <c r="R18" s="40"/>
      <c r="S18" s="40"/>
      <c r="T18" s="40"/>
      <c r="U18" s="40"/>
      <c r="V18" s="2"/>
      <c r="W18" s="40"/>
      <c r="X18" s="40"/>
      <c r="Y18" s="41"/>
      <c r="Z18" s="41"/>
      <c r="AA18" s="2"/>
    </row>
    <row r="19" spans="1:28" ht="6" customHeight="1" x14ac:dyDescent="0.25">
      <c r="A19" s="61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3"/>
    </row>
    <row r="20" spans="1:28" x14ac:dyDescent="0.25">
      <c r="A20" s="40" t="s">
        <v>47</v>
      </c>
      <c r="B20" s="40"/>
      <c r="C20" s="40" t="str">
        <f>IF(Q20&gt;85,"pass","fail")</f>
        <v>pass</v>
      </c>
      <c r="D20" s="40"/>
      <c r="E20" s="40"/>
      <c r="F20" s="47" t="s">
        <v>48</v>
      </c>
      <c r="G20" s="48"/>
      <c r="H20" s="47">
        <f>SUM(W11:X17)</f>
        <v>1216</v>
      </c>
      <c r="I20" s="59"/>
      <c r="J20" s="59"/>
      <c r="K20" s="59"/>
      <c r="L20" s="59"/>
      <c r="M20" s="48"/>
      <c r="N20" s="47" t="s">
        <v>49</v>
      </c>
      <c r="O20" s="59"/>
      <c r="P20" s="48"/>
      <c r="Q20" s="33">
        <f>H20/1400*100</f>
        <v>86.857142857142861</v>
      </c>
      <c r="R20" s="64"/>
      <c r="S20" s="65"/>
      <c r="T20" s="66"/>
      <c r="U20" s="1" t="s">
        <v>50</v>
      </c>
      <c r="V20" s="1"/>
      <c r="W20" s="1"/>
      <c r="X20" s="1" t="str" cm="1">
        <f t="array" ref="X20">_xlfn.IFS(Q20&gt;=80,"AA",Q20&gt;=60,"A",Q20&gt;=45,"B",Q20&gt;=25,"C",Q20&lt;25,"D")</f>
        <v>AA</v>
      </c>
      <c r="Y20" s="47"/>
      <c r="Z20" s="59"/>
      <c r="AA20" s="48"/>
    </row>
    <row r="21" spans="1:28" ht="9" customHeight="1" x14ac:dyDescent="0.25"/>
    <row r="23" spans="1:28" x14ac:dyDescent="0.25">
      <c r="A23" s="60" t="s">
        <v>51</v>
      </c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9"/>
      <c r="M23" s="60" t="s">
        <v>52</v>
      </c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</row>
    <row r="24" spans="1:28" ht="21" customHeight="1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45" t="s">
        <v>140</v>
      </c>
      <c r="Z24" s="45"/>
      <c r="AA24" s="45"/>
    </row>
    <row r="25" spans="1:28" ht="19.5" customHeight="1" x14ac:dyDescent="0.25">
      <c r="Y25" s="70" t="s">
        <v>133</v>
      </c>
      <c r="Z25" s="71"/>
      <c r="AA25" s="34" t="s">
        <v>134</v>
      </c>
    </row>
    <row r="26" spans="1:28" ht="15.75" x14ac:dyDescent="0.25">
      <c r="Y26" s="68">
        <v>80</v>
      </c>
      <c r="Z26" s="69"/>
      <c r="AA26" s="35" t="s">
        <v>139</v>
      </c>
    </row>
    <row r="27" spans="1:28" ht="15.75" x14ac:dyDescent="0.25">
      <c r="Y27" s="68">
        <v>60</v>
      </c>
      <c r="Z27" s="69"/>
      <c r="AA27" s="35" t="s">
        <v>135</v>
      </c>
    </row>
    <row r="28" spans="1:28" ht="15.75" x14ac:dyDescent="0.25">
      <c r="Y28" s="68">
        <v>45</v>
      </c>
      <c r="Z28" s="69"/>
      <c r="AA28" s="35" t="s">
        <v>136</v>
      </c>
      <c r="AB28" s="8"/>
    </row>
    <row r="29" spans="1:28" ht="15.75" x14ac:dyDescent="0.25">
      <c r="Y29" s="68">
        <v>25</v>
      </c>
      <c r="Z29" s="69"/>
      <c r="AA29" s="35" t="s">
        <v>137</v>
      </c>
    </row>
    <row r="30" spans="1:28" ht="15" customHeight="1" x14ac:dyDescent="0.25">
      <c r="Y30" s="68">
        <v>0</v>
      </c>
      <c r="Z30" s="69"/>
      <c r="AA30" s="35" t="s">
        <v>138</v>
      </c>
    </row>
    <row r="31" spans="1:28" ht="6.75" customHeight="1" x14ac:dyDescent="0.25"/>
    <row r="32" spans="1:28" ht="18.75" customHeight="1" x14ac:dyDescent="0.25">
      <c r="Y32" s="5"/>
      <c r="Z32" s="5"/>
      <c r="AA32" s="5"/>
    </row>
    <row r="33" spans="3:27" x14ac:dyDescent="0.25">
      <c r="H33" s="72" t="s">
        <v>53</v>
      </c>
      <c r="I33" s="72"/>
      <c r="J33" s="72"/>
      <c r="K33" s="72"/>
      <c r="L33" s="8"/>
      <c r="O33" s="72" t="s">
        <v>54</v>
      </c>
      <c r="P33" s="72"/>
      <c r="Q33" s="72"/>
      <c r="R33" s="72"/>
      <c r="S33" s="72"/>
      <c r="W33" s="72" t="s">
        <v>55</v>
      </c>
      <c r="X33" s="72"/>
      <c r="Y33" s="72"/>
      <c r="Z33" s="72"/>
      <c r="AA33" s="72"/>
    </row>
    <row r="34" spans="3:27" x14ac:dyDescent="0.25">
      <c r="C34" s="72"/>
      <c r="D34" s="72"/>
      <c r="E34" s="72"/>
      <c r="F34" s="72"/>
      <c r="G34" s="72"/>
      <c r="H34" s="72"/>
      <c r="I34" s="72"/>
      <c r="J34" s="72"/>
      <c r="K34" s="72"/>
      <c r="L34" s="8"/>
    </row>
  </sheetData>
  <mergeCells count="122">
    <mergeCell ref="Y26:Z26"/>
    <mergeCell ref="Y25:Z25"/>
    <mergeCell ref="Y30:Z30"/>
    <mergeCell ref="Y29:Z29"/>
    <mergeCell ref="Y28:Z28"/>
    <mergeCell ref="Y27:Z27"/>
    <mergeCell ref="Y24:AA24"/>
    <mergeCell ref="C34:K34"/>
    <mergeCell ref="H33:K33"/>
    <mergeCell ref="O33:S33"/>
    <mergeCell ref="W33:AA33"/>
    <mergeCell ref="Y9:Z9"/>
    <mergeCell ref="N20:P20"/>
    <mergeCell ref="A23:K23"/>
    <mergeCell ref="M23:Z23"/>
    <mergeCell ref="A20:B20"/>
    <mergeCell ref="C20:E20"/>
    <mergeCell ref="F20:G20"/>
    <mergeCell ref="A19:AA19"/>
    <mergeCell ref="Y20:AA20"/>
    <mergeCell ref="R20:T20"/>
    <mergeCell ref="H20:M20"/>
    <mergeCell ref="M11:N11"/>
    <mergeCell ref="M12:N12"/>
    <mergeCell ref="M13:N13"/>
    <mergeCell ref="A14:G14"/>
    <mergeCell ref="A15:G15"/>
    <mergeCell ref="A16:G16"/>
    <mergeCell ref="A17:G17"/>
    <mergeCell ref="H14:I14"/>
    <mergeCell ref="J14:K14"/>
    <mergeCell ref="J15:K15"/>
    <mergeCell ref="J17:K17"/>
    <mergeCell ref="J16:K16"/>
    <mergeCell ref="W10:X10"/>
    <mergeCell ref="X5:AA5"/>
    <mergeCell ref="A5:U5"/>
    <mergeCell ref="A11:G11"/>
    <mergeCell ref="A12:G12"/>
    <mergeCell ref="H10:I10"/>
    <mergeCell ref="H11:I11"/>
    <mergeCell ref="H12:I12"/>
    <mergeCell ref="A13:G13"/>
    <mergeCell ref="D7:F7"/>
    <mergeCell ref="N7:O7"/>
    <mergeCell ref="A7:C7"/>
    <mergeCell ref="U7:W7"/>
    <mergeCell ref="Y10:Z10"/>
    <mergeCell ref="A6:AA6"/>
    <mergeCell ref="J10:K10"/>
    <mergeCell ref="J11:K11"/>
    <mergeCell ref="J12:K12"/>
    <mergeCell ref="J13:K13"/>
    <mergeCell ref="P7:T7"/>
    <mergeCell ref="X7:AA7"/>
    <mergeCell ref="H13:I13"/>
    <mergeCell ref="O10:P10"/>
    <mergeCell ref="R10:S10"/>
    <mergeCell ref="T10:U10"/>
    <mergeCell ref="R11:S11"/>
    <mergeCell ref="R12:S12"/>
    <mergeCell ref="R13:S13"/>
    <mergeCell ref="R14:S14"/>
    <mergeCell ref="R15:S15"/>
    <mergeCell ref="W11:X11"/>
    <mergeCell ref="W12:X12"/>
    <mergeCell ref="W13:X13"/>
    <mergeCell ref="W15:X15"/>
    <mergeCell ref="T11:U11"/>
    <mergeCell ref="T12:U12"/>
    <mergeCell ref="T13:U13"/>
    <mergeCell ref="T14:U14"/>
    <mergeCell ref="T15:U15"/>
    <mergeCell ref="W14:X14"/>
    <mergeCell ref="Y14:Z14"/>
    <mergeCell ref="Y15:Z15"/>
    <mergeCell ref="Y16:Z16"/>
    <mergeCell ref="Y17:Z17"/>
    <mergeCell ref="H18:I18"/>
    <mergeCell ref="J18:K18"/>
    <mergeCell ref="A18:G18"/>
    <mergeCell ref="M18:N18"/>
    <mergeCell ref="O18:P18"/>
    <mergeCell ref="T18:U18"/>
    <mergeCell ref="R16:S16"/>
    <mergeCell ref="R17:S17"/>
    <mergeCell ref="M14:N14"/>
    <mergeCell ref="M15:N15"/>
    <mergeCell ref="O17:P17"/>
    <mergeCell ref="H15:I15"/>
    <mergeCell ref="H16:I16"/>
    <mergeCell ref="H17:I17"/>
    <mergeCell ref="R18:S18"/>
    <mergeCell ref="W16:X16"/>
    <mergeCell ref="W17:X17"/>
    <mergeCell ref="W18:X18"/>
    <mergeCell ref="T16:U16"/>
    <mergeCell ref="T17:U17"/>
    <mergeCell ref="A1:AA1"/>
    <mergeCell ref="A2:AA2"/>
    <mergeCell ref="A3:AA3"/>
    <mergeCell ref="A4:AA4"/>
    <mergeCell ref="O13:P13"/>
    <mergeCell ref="Y18:Z18"/>
    <mergeCell ref="A8:AA8"/>
    <mergeCell ref="A9:G9"/>
    <mergeCell ref="A10:G10"/>
    <mergeCell ref="H9:K9"/>
    <mergeCell ref="M9:P9"/>
    <mergeCell ref="R9:U9"/>
    <mergeCell ref="W9:X9"/>
    <mergeCell ref="M10:N10"/>
    <mergeCell ref="M16:N16"/>
    <mergeCell ref="M17:N17"/>
    <mergeCell ref="O11:P11"/>
    <mergeCell ref="O12:P12"/>
    <mergeCell ref="O14:P14"/>
    <mergeCell ref="O15:P15"/>
    <mergeCell ref="O16:P16"/>
    <mergeCell ref="Y11:Z11"/>
    <mergeCell ref="Y12:Z12"/>
    <mergeCell ref="Y13:Z13"/>
  </mergeCells>
  <phoneticPr fontId="11" type="noConversion"/>
  <printOptions horizontalCentered="1"/>
  <pageMargins left="0" right="0" top="0" bottom="0" header="0" footer="0"/>
  <pageSetup paperSize="9" scale="79" orientation="landscape" r:id="rId1"/>
  <headerFooter>
    <oddHeader>&amp;A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U52"/>
  <sheetViews>
    <sheetView zoomScale="90" zoomScaleNormal="9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L4" sqref="L4"/>
    </sheetView>
  </sheetViews>
  <sheetFormatPr defaultRowHeight="15" x14ac:dyDescent="0.25"/>
  <cols>
    <col min="1" max="1" width="7.140625" customWidth="1"/>
    <col min="2" max="2" width="16.140625" customWidth="1"/>
    <col min="3" max="3" width="25.42578125" customWidth="1"/>
    <col min="4" max="4" width="25.85546875" customWidth="1"/>
    <col min="5" max="5" width="27.85546875" customWidth="1"/>
    <col min="8" max="8" width="13.42578125" customWidth="1"/>
    <col min="13" max="13" width="5.7109375" customWidth="1"/>
    <col min="21" max="21" width="3.42578125" customWidth="1"/>
  </cols>
  <sheetData>
    <row r="1" spans="1:21" ht="23.25" x14ac:dyDescent="0.35">
      <c r="F1" s="73" t="s">
        <v>9</v>
      </c>
      <c r="G1" s="73"/>
      <c r="H1" s="73"/>
      <c r="I1" s="73"/>
      <c r="J1" s="73"/>
      <c r="K1" s="73"/>
      <c r="L1" s="73"/>
      <c r="N1" s="74" t="s">
        <v>14</v>
      </c>
      <c r="O1" s="74"/>
      <c r="P1" s="74"/>
      <c r="Q1" s="74"/>
      <c r="R1" s="74"/>
      <c r="S1" s="74"/>
      <c r="T1" s="74"/>
    </row>
    <row r="2" spans="1:21" ht="38.25" customHeight="1" x14ac:dyDescent="0.25">
      <c r="A2" s="13" t="s">
        <v>0</v>
      </c>
      <c r="B2" s="13" t="s">
        <v>130</v>
      </c>
      <c r="C2" s="13" t="s">
        <v>131</v>
      </c>
      <c r="D2" s="13" t="s">
        <v>6</v>
      </c>
      <c r="E2" s="13" t="s">
        <v>22</v>
      </c>
      <c r="F2" s="22" t="s">
        <v>10</v>
      </c>
      <c r="G2" s="23" t="s">
        <v>11</v>
      </c>
      <c r="H2" s="24" t="s">
        <v>12</v>
      </c>
      <c r="I2" s="22" t="s">
        <v>13</v>
      </c>
      <c r="J2" s="25" t="s">
        <v>23</v>
      </c>
      <c r="K2" s="26" t="s">
        <v>24</v>
      </c>
      <c r="L2" s="27" t="s">
        <v>25</v>
      </c>
      <c r="M2" s="14"/>
      <c r="N2" s="22" t="s">
        <v>15</v>
      </c>
      <c r="O2" s="23" t="s">
        <v>16</v>
      </c>
      <c r="P2" s="24" t="s">
        <v>17</v>
      </c>
      <c r="Q2" s="22" t="s">
        <v>18</v>
      </c>
      <c r="R2" s="25" t="s">
        <v>19</v>
      </c>
      <c r="S2" s="26" t="s">
        <v>20</v>
      </c>
      <c r="T2" s="27" t="s">
        <v>21</v>
      </c>
      <c r="U2" s="15"/>
    </row>
    <row r="3" spans="1:21" ht="23.25" customHeight="1" x14ac:dyDescent="0.35">
      <c r="A3" s="28">
        <v>1</v>
      </c>
      <c r="B3" s="29" t="s">
        <v>58</v>
      </c>
      <c r="C3" s="30" t="s">
        <v>108</v>
      </c>
      <c r="D3" s="30" t="s">
        <v>125</v>
      </c>
      <c r="E3" s="12" t="s">
        <v>125</v>
      </c>
      <c r="F3" s="16">
        <v>32</v>
      </c>
      <c r="G3" s="17">
        <v>35</v>
      </c>
      <c r="H3" s="18">
        <v>40</v>
      </c>
      <c r="I3" s="16">
        <v>40</v>
      </c>
      <c r="J3" s="19">
        <v>36</v>
      </c>
      <c r="K3" s="20">
        <v>35</v>
      </c>
      <c r="L3" s="21">
        <v>40</v>
      </c>
      <c r="N3" s="16">
        <v>9</v>
      </c>
      <c r="O3" s="17">
        <v>9</v>
      </c>
      <c r="P3" s="18">
        <v>9</v>
      </c>
      <c r="Q3" s="16">
        <v>8</v>
      </c>
      <c r="R3" s="19">
        <v>10</v>
      </c>
      <c r="S3" s="20">
        <v>8</v>
      </c>
      <c r="T3" s="21">
        <v>9</v>
      </c>
    </row>
    <row r="4" spans="1:21" ht="21" x14ac:dyDescent="0.35">
      <c r="A4" s="28">
        <v>2</v>
      </c>
      <c r="B4" s="29" t="s">
        <v>59</v>
      </c>
      <c r="C4" s="30" t="s">
        <v>109</v>
      </c>
      <c r="D4" s="30" t="s">
        <v>113</v>
      </c>
      <c r="E4" s="12" t="s">
        <v>113</v>
      </c>
      <c r="F4" s="16">
        <v>35</v>
      </c>
      <c r="G4" s="17">
        <v>33</v>
      </c>
      <c r="H4" s="18">
        <v>36</v>
      </c>
      <c r="I4" s="16">
        <v>38</v>
      </c>
      <c r="J4" s="19">
        <v>40</v>
      </c>
      <c r="K4" s="20">
        <v>39</v>
      </c>
      <c r="L4" s="21">
        <v>31</v>
      </c>
      <c r="N4" s="16">
        <v>9</v>
      </c>
      <c r="O4" s="17">
        <v>9</v>
      </c>
      <c r="P4" s="18">
        <v>10</v>
      </c>
      <c r="Q4" s="16">
        <v>9</v>
      </c>
      <c r="R4" s="19">
        <v>9</v>
      </c>
      <c r="S4" s="20">
        <v>9</v>
      </c>
      <c r="T4" s="21">
        <v>9</v>
      </c>
    </row>
    <row r="5" spans="1:21" ht="21" x14ac:dyDescent="0.35">
      <c r="A5" s="28">
        <v>3</v>
      </c>
      <c r="B5" s="29" t="s">
        <v>60</v>
      </c>
      <c r="C5" s="30" t="s">
        <v>108</v>
      </c>
      <c r="D5" s="30" t="s">
        <v>124</v>
      </c>
      <c r="E5" s="12" t="s">
        <v>124</v>
      </c>
      <c r="F5" s="16">
        <v>32</v>
      </c>
      <c r="G5" s="17">
        <v>37</v>
      </c>
      <c r="H5" s="18">
        <v>36</v>
      </c>
      <c r="I5" s="16">
        <v>38</v>
      </c>
      <c r="J5" s="19">
        <v>30</v>
      </c>
      <c r="K5" s="20">
        <v>34</v>
      </c>
      <c r="L5" s="21">
        <v>35</v>
      </c>
      <c r="N5" s="16">
        <v>8</v>
      </c>
      <c r="O5" s="17">
        <v>8</v>
      </c>
      <c r="P5" s="18">
        <v>9</v>
      </c>
      <c r="Q5" s="16">
        <v>9</v>
      </c>
      <c r="R5" s="19">
        <v>10</v>
      </c>
      <c r="S5" s="20">
        <v>10</v>
      </c>
      <c r="T5" s="21">
        <v>10</v>
      </c>
    </row>
    <row r="6" spans="1:21" ht="21" x14ac:dyDescent="0.35">
      <c r="A6" s="28">
        <v>4</v>
      </c>
      <c r="B6" s="29" t="s">
        <v>61</v>
      </c>
      <c r="C6" s="30" t="s">
        <v>110</v>
      </c>
      <c r="D6" s="30" t="s">
        <v>113</v>
      </c>
      <c r="E6" s="12" t="s">
        <v>113</v>
      </c>
      <c r="F6" s="16">
        <v>38</v>
      </c>
      <c r="G6" s="17">
        <v>34</v>
      </c>
      <c r="H6" s="18">
        <v>40</v>
      </c>
      <c r="I6" s="16">
        <v>35</v>
      </c>
      <c r="J6" s="19">
        <v>40</v>
      </c>
      <c r="K6" s="20">
        <v>38</v>
      </c>
      <c r="L6" s="21">
        <v>30</v>
      </c>
      <c r="N6" s="16">
        <v>8</v>
      </c>
      <c r="O6" s="17">
        <v>8</v>
      </c>
      <c r="P6" s="18">
        <v>10</v>
      </c>
      <c r="Q6" s="16">
        <v>10</v>
      </c>
      <c r="R6" s="19">
        <v>8</v>
      </c>
      <c r="S6" s="20">
        <v>8</v>
      </c>
      <c r="T6" s="21">
        <v>10</v>
      </c>
    </row>
    <row r="7" spans="1:21" ht="33" customHeight="1" x14ac:dyDescent="0.35">
      <c r="A7" s="28">
        <v>5</v>
      </c>
      <c r="B7" s="29" t="s">
        <v>62</v>
      </c>
      <c r="C7" s="30" t="s">
        <v>111</v>
      </c>
      <c r="D7" s="30" t="s">
        <v>114</v>
      </c>
      <c r="E7" s="12" t="s">
        <v>114</v>
      </c>
      <c r="F7" s="16">
        <v>31</v>
      </c>
      <c r="G7" s="17">
        <v>37</v>
      </c>
      <c r="H7" s="18">
        <v>36</v>
      </c>
      <c r="I7" s="16">
        <v>38</v>
      </c>
      <c r="J7" s="19">
        <v>39</v>
      </c>
      <c r="K7" s="20">
        <v>40</v>
      </c>
      <c r="L7" s="21">
        <v>30</v>
      </c>
      <c r="N7" s="16">
        <v>9</v>
      </c>
      <c r="O7" s="17">
        <v>10</v>
      </c>
      <c r="P7" s="18">
        <v>9</v>
      </c>
      <c r="Q7" s="16">
        <v>8</v>
      </c>
      <c r="R7" s="19">
        <v>10</v>
      </c>
      <c r="S7" s="20">
        <v>8</v>
      </c>
      <c r="T7" s="21">
        <v>9</v>
      </c>
    </row>
    <row r="8" spans="1:21" ht="21" x14ac:dyDescent="0.35">
      <c r="A8" s="28">
        <v>6</v>
      </c>
      <c r="B8" s="29" t="s">
        <v>63</v>
      </c>
      <c r="C8" s="30" t="s">
        <v>112</v>
      </c>
      <c r="D8" s="30" t="s">
        <v>113</v>
      </c>
      <c r="E8" s="12" t="s">
        <v>113</v>
      </c>
      <c r="F8" s="16">
        <v>35</v>
      </c>
      <c r="G8" s="17">
        <v>32</v>
      </c>
      <c r="H8" s="18">
        <v>32</v>
      </c>
      <c r="I8" s="16">
        <v>33</v>
      </c>
      <c r="J8" s="19">
        <v>35</v>
      </c>
      <c r="K8" s="20">
        <v>33</v>
      </c>
      <c r="L8" s="21">
        <v>39</v>
      </c>
      <c r="N8" s="16">
        <v>8</v>
      </c>
      <c r="O8" s="17">
        <v>10</v>
      </c>
      <c r="P8" s="18">
        <v>8</v>
      </c>
      <c r="Q8" s="16">
        <v>10</v>
      </c>
      <c r="R8" s="19">
        <v>8</v>
      </c>
      <c r="S8" s="20">
        <v>9</v>
      </c>
      <c r="T8" s="21">
        <v>9</v>
      </c>
    </row>
    <row r="9" spans="1:21" ht="21" x14ac:dyDescent="0.35">
      <c r="A9" s="28">
        <v>7</v>
      </c>
      <c r="B9" s="29" t="s">
        <v>64</v>
      </c>
      <c r="C9" s="30" t="s">
        <v>113</v>
      </c>
      <c r="D9" s="30" t="s">
        <v>126</v>
      </c>
      <c r="E9" s="12" t="s">
        <v>126</v>
      </c>
      <c r="F9" s="16">
        <v>31</v>
      </c>
      <c r="G9" s="17">
        <v>30</v>
      </c>
      <c r="H9" s="18">
        <v>39</v>
      </c>
      <c r="I9" s="16">
        <v>38</v>
      </c>
      <c r="J9" s="19">
        <v>34</v>
      </c>
      <c r="K9" s="20">
        <v>34</v>
      </c>
      <c r="L9" s="21">
        <v>36</v>
      </c>
      <c r="N9" s="16">
        <v>8</v>
      </c>
      <c r="O9" s="17">
        <v>10</v>
      </c>
      <c r="P9" s="18">
        <v>8</v>
      </c>
      <c r="Q9" s="16">
        <v>10</v>
      </c>
      <c r="R9" s="19">
        <v>8</v>
      </c>
      <c r="S9" s="20">
        <v>8</v>
      </c>
      <c r="T9" s="21">
        <v>10</v>
      </c>
    </row>
    <row r="10" spans="1:21" ht="21" x14ac:dyDescent="0.35">
      <c r="A10" s="28">
        <v>8</v>
      </c>
      <c r="B10" s="29" t="s">
        <v>65</v>
      </c>
      <c r="C10" s="30" t="s">
        <v>114</v>
      </c>
      <c r="D10" s="30" t="s">
        <v>112</v>
      </c>
      <c r="E10" s="12" t="s">
        <v>112</v>
      </c>
      <c r="F10" s="16">
        <v>40</v>
      </c>
      <c r="G10" s="17">
        <v>40</v>
      </c>
      <c r="H10" s="18">
        <v>34</v>
      </c>
      <c r="I10" s="16">
        <v>33</v>
      </c>
      <c r="J10" s="19">
        <v>33</v>
      </c>
      <c r="K10" s="20">
        <v>30</v>
      </c>
      <c r="L10" s="21">
        <v>37</v>
      </c>
      <c r="N10" s="16">
        <v>9</v>
      </c>
      <c r="O10" s="17">
        <v>10</v>
      </c>
      <c r="P10" s="18">
        <v>10</v>
      </c>
      <c r="Q10" s="16">
        <v>9</v>
      </c>
      <c r="R10" s="19">
        <v>8</v>
      </c>
      <c r="S10" s="20">
        <v>8</v>
      </c>
      <c r="T10" s="21">
        <v>9</v>
      </c>
    </row>
    <row r="11" spans="1:21" ht="21" x14ac:dyDescent="0.35">
      <c r="A11" s="28">
        <v>9</v>
      </c>
      <c r="B11" s="29" t="s">
        <v>66</v>
      </c>
      <c r="C11" s="30" t="s">
        <v>112</v>
      </c>
      <c r="D11" s="30" t="s">
        <v>119</v>
      </c>
      <c r="E11" s="12" t="s">
        <v>119</v>
      </c>
      <c r="F11" s="16">
        <v>38</v>
      </c>
      <c r="G11" s="17">
        <v>31</v>
      </c>
      <c r="H11" s="18">
        <v>34</v>
      </c>
      <c r="I11" s="16">
        <v>31</v>
      </c>
      <c r="J11" s="19">
        <v>38</v>
      </c>
      <c r="K11" s="20">
        <v>33</v>
      </c>
      <c r="L11" s="21">
        <v>35</v>
      </c>
      <c r="N11" s="16">
        <v>10</v>
      </c>
      <c r="O11" s="17">
        <v>8</v>
      </c>
      <c r="P11" s="18">
        <v>8</v>
      </c>
      <c r="Q11" s="16">
        <v>8</v>
      </c>
      <c r="R11" s="19">
        <v>8</v>
      </c>
      <c r="S11" s="20">
        <v>8</v>
      </c>
      <c r="T11" s="21">
        <v>10</v>
      </c>
    </row>
    <row r="12" spans="1:21" ht="21" x14ac:dyDescent="0.35">
      <c r="A12" s="28">
        <v>10</v>
      </c>
      <c r="B12" s="29" t="s">
        <v>67</v>
      </c>
      <c r="C12" s="30" t="s">
        <v>115</v>
      </c>
      <c r="D12" s="30" t="s">
        <v>132</v>
      </c>
      <c r="E12" s="12" t="s">
        <v>132</v>
      </c>
      <c r="F12" s="16">
        <v>31</v>
      </c>
      <c r="G12" s="17">
        <v>32</v>
      </c>
      <c r="H12" s="18">
        <v>32</v>
      </c>
      <c r="I12" s="16">
        <v>36</v>
      </c>
      <c r="J12" s="19">
        <v>30</v>
      </c>
      <c r="K12" s="20">
        <v>40</v>
      </c>
      <c r="L12" s="21">
        <v>37</v>
      </c>
      <c r="N12" s="16">
        <v>8</v>
      </c>
      <c r="O12" s="17">
        <v>9</v>
      </c>
      <c r="P12" s="18">
        <v>10</v>
      </c>
      <c r="Q12" s="16">
        <v>10</v>
      </c>
      <c r="R12" s="19">
        <v>8</v>
      </c>
      <c r="S12" s="20">
        <v>8</v>
      </c>
      <c r="T12" s="21">
        <v>8</v>
      </c>
    </row>
    <row r="13" spans="1:21" ht="21" x14ac:dyDescent="0.35">
      <c r="A13" s="28">
        <v>11</v>
      </c>
      <c r="B13" s="29" t="s">
        <v>68</v>
      </c>
      <c r="C13" s="30" t="s">
        <v>116</v>
      </c>
      <c r="D13" s="30" t="s">
        <v>118</v>
      </c>
      <c r="E13" s="12" t="s">
        <v>118</v>
      </c>
      <c r="F13" s="16">
        <v>30</v>
      </c>
      <c r="G13" s="17">
        <v>32</v>
      </c>
      <c r="H13" s="18">
        <v>32</v>
      </c>
      <c r="I13" s="16">
        <v>34</v>
      </c>
      <c r="J13" s="19">
        <v>33</v>
      </c>
      <c r="K13" s="20">
        <v>40</v>
      </c>
      <c r="L13" s="21">
        <v>37</v>
      </c>
      <c r="N13" s="16">
        <v>10</v>
      </c>
      <c r="O13" s="17">
        <v>10</v>
      </c>
      <c r="P13" s="18">
        <v>9</v>
      </c>
      <c r="Q13" s="16">
        <v>8</v>
      </c>
      <c r="R13" s="19">
        <v>9</v>
      </c>
      <c r="S13" s="20">
        <v>10</v>
      </c>
      <c r="T13" s="21">
        <v>8</v>
      </c>
    </row>
    <row r="14" spans="1:21" ht="21" x14ac:dyDescent="0.35">
      <c r="A14" s="28">
        <v>12</v>
      </c>
      <c r="B14" s="29" t="s">
        <v>69</v>
      </c>
      <c r="C14" s="30" t="s">
        <v>108</v>
      </c>
      <c r="D14" s="30" t="s">
        <v>123</v>
      </c>
      <c r="E14" s="12" t="s">
        <v>123</v>
      </c>
      <c r="F14" s="16">
        <v>36</v>
      </c>
      <c r="G14" s="17">
        <v>32</v>
      </c>
      <c r="H14" s="18">
        <v>30</v>
      </c>
      <c r="I14" s="16">
        <v>37</v>
      </c>
      <c r="J14" s="19">
        <v>40</v>
      </c>
      <c r="K14" s="20">
        <v>35</v>
      </c>
      <c r="L14" s="21">
        <v>36</v>
      </c>
      <c r="N14" s="16">
        <v>9</v>
      </c>
      <c r="O14" s="17">
        <v>10</v>
      </c>
      <c r="P14" s="18">
        <v>9</v>
      </c>
      <c r="Q14" s="16">
        <v>9</v>
      </c>
      <c r="R14" s="19">
        <v>9</v>
      </c>
      <c r="S14" s="20">
        <v>9</v>
      </c>
      <c r="T14" s="21">
        <v>9</v>
      </c>
    </row>
    <row r="15" spans="1:21" ht="21" x14ac:dyDescent="0.35">
      <c r="A15" s="28">
        <v>13</v>
      </c>
      <c r="B15" s="29" t="s">
        <v>70</v>
      </c>
      <c r="C15" s="30" t="s">
        <v>117</v>
      </c>
      <c r="D15" s="30" t="s">
        <v>113</v>
      </c>
      <c r="E15" s="12" t="s">
        <v>113</v>
      </c>
      <c r="F15" s="16">
        <v>34</v>
      </c>
      <c r="G15" s="17">
        <v>31</v>
      </c>
      <c r="H15" s="18">
        <v>36</v>
      </c>
      <c r="I15" s="16">
        <v>36</v>
      </c>
      <c r="J15" s="19">
        <v>36</v>
      </c>
      <c r="K15" s="20">
        <v>37</v>
      </c>
      <c r="L15" s="21">
        <v>31</v>
      </c>
      <c r="N15" s="16">
        <v>9</v>
      </c>
      <c r="O15" s="17">
        <v>8</v>
      </c>
      <c r="P15" s="18">
        <v>8</v>
      </c>
      <c r="Q15" s="16">
        <v>9</v>
      </c>
      <c r="R15" s="19">
        <v>8</v>
      </c>
      <c r="S15" s="20">
        <v>8</v>
      </c>
      <c r="T15" s="21">
        <v>10</v>
      </c>
    </row>
    <row r="16" spans="1:21" ht="21" x14ac:dyDescent="0.35">
      <c r="A16" s="28">
        <v>14</v>
      </c>
      <c r="B16" s="29" t="s">
        <v>71</v>
      </c>
      <c r="C16" s="30" t="s">
        <v>118</v>
      </c>
      <c r="D16" s="30" t="s">
        <v>121</v>
      </c>
      <c r="E16" s="12" t="s">
        <v>121</v>
      </c>
      <c r="F16" s="16">
        <v>38</v>
      </c>
      <c r="G16" s="17">
        <v>36</v>
      </c>
      <c r="H16" s="18">
        <v>39</v>
      </c>
      <c r="I16" s="16">
        <v>35</v>
      </c>
      <c r="J16" s="19">
        <v>37</v>
      </c>
      <c r="K16" s="20">
        <v>37</v>
      </c>
      <c r="L16" s="21">
        <v>39</v>
      </c>
      <c r="N16" s="16">
        <v>8</v>
      </c>
      <c r="O16" s="17">
        <v>8</v>
      </c>
      <c r="P16" s="18">
        <v>10</v>
      </c>
      <c r="Q16" s="16">
        <v>9</v>
      </c>
      <c r="R16" s="19">
        <v>9</v>
      </c>
      <c r="S16" s="20">
        <v>8</v>
      </c>
      <c r="T16" s="21">
        <v>8</v>
      </c>
    </row>
    <row r="17" spans="1:20" ht="21" x14ac:dyDescent="0.35">
      <c r="A17" s="28">
        <v>15</v>
      </c>
      <c r="B17" s="29" t="s">
        <v>72</v>
      </c>
      <c r="C17" s="30" t="s">
        <v>119</v>
      </c>
      <c r="D17" s="30" t="s">
        <v>121</v>
      </c>
      <c r="E17" s="12" t="s">
        <v>121</v>
      </c>
      <c r="F17" s="16">
        <v>40</v>
      </c>
      <c r="G17" s="17">
        <v>40</v>
      </c>
      <c r="H17" s="18">
        <v>32</v>
      </c>
      <c r="I17" s="16">
        <v>32</v>
      </c>
      <c r="J17" s="19">
        <v>31</v>
      </c>
      <c r="K17" s="20">
        <v>40</v>
      </c>
      <c r="L17" s="21">
        <v>34</v>
      </c>
      <c r="N17" s="16">
        <v>10</v>
      </c>
      <c r="O17" s="17">
        <v>9</v>
      </c>
      <c r="P17" s="18">
        <v>10</v>
      </c>
      <c r="Q17" s="16">
        <v>10</v>
      </c>
      <c r="R17" s="19">
        <v>8</v>
      </c>
      <c r="S17" s="20">
        <v>8</v>
      </c>
      <c r="T17" s="21">
        <v>10</v>
      </c>
    </row>
    <row r="18" spans="1:20" ht="21" x14ac:dyDescent="0.35">
      <c r="A18" s="28">
        <v>16</v>
      </c>
      <c r="B18" s="29" t="s">
        <v>73</v>
      </c>
      <c r="C18" s="30" t="s">
        <v>120</v>
      </c>
      <c r="D18" s="30" t="s">
        <v>114</v>
      </c>
      <c r="E18" s="12" t="s">
        <v>114</v>
      </c>
      <c r="F18" s="16">
        <v>33</v>
      </c>
      <c r="G18" s="17">
        <v>37</v>
      </c>
      <c r="H18" s="18">
        <v>32</v>
      </c>
      <c r="I18" s="16">
        <v>38</v>
      </c>
      <c r="J18" s="19">
        <v>37</v>
      </c>
      <c r="K18" s="20">
        <v>35</v>
      </c>
      <c r="L18" s="21">
        <v>40</v>
      </c>
      <c r="N18" s="16">
        <v>9</v>
      </c>
      <c r="O18" s="17">
        <v>10</v>
      </c>
      <c r="P18" s="18">
        <v>9</v>
      </c>
      <c r="Q18" s="16">
        <v>9</v>
      </c>
      <c r="R18" s="19">
        <v>9</v>
      </c>
      <c r="S18" s="20">
        <v>9</v>
      </c>
      <c r="T18" s="21">
        <v>8</v>
      </c>
    </row>
    <row r="19" spans="1:20" ht="21" x14ac:dyDescent="0.35">
      <c r="A19" s="28">
        <v>17</v>
      </c>
      <c r="B19" s="29" t="s">
        <v>74</v>
      </c>
      <c r="C19" s="30" t="s">
        <v>117</v>
      </c>
      <c r="D19" s="30" t="s">
        <v>126</v>
      </c>
      <c r="E19" s="12" t="s">
        <v>126</v>
      </c>
      <c r="F19" s="16">
        <v>33</v>
      </c>
      <c r="G19" s="17">
        <v>31</v>
      </c>
      <c r="H19" s="18">
        <v>37</v>
      </c>
      <c r="I19" s="16">
        <v>33</v>
      </c>
      <c r="J19" s="19">
        <v>35</v>
      </c>
      <c r="K19" s="20">
        <v>34</v>
      </c>
      <c r="L19" s="21">
        <v>32</v>
      </c>
      <c r="N19" s="16">
        <v>10</v>
      </c>
      <c r="O19" s="17">
        <v>10</v>
      </c>
      <c r="P19" s="18">
        <v>9</v>
      </c>
      <c r="Q19" s="16">
        <v>8</v>
      </c>
      <c r="R19" s="19">
        <v>8</v>
      </c>
      <c r="S19" s="20">
        <v>9</v>
      </c>
      <c r="T19" s="21">
        <v>8</v>
      </c>
    </row>
    <row r="20" spans="1:20" ht="21" x14ac:dyDescent="0.35">
      <c r="A20" s="28">
        <v>18</v>
      </c>
      <c r="B20" s="29" t="s">
        <v>75</v>
      </c>
      <c r="C20" s="30" t="s">
        <v>116</v>
      </c>
      <c r="D20" s="30" t="s">
        <v>117</v>
      </c>
      <c r="E20" s="12" t="s">
        <v>117</v>
      </c>
      <c r="F20" s="16">
        <v>35</v>
      </c>
      <c r="G20" s="17">
        <v>35</v>
      </c>
      <c r="H20" s="18">
        <v>38</v>
      </c>
      <c r="I20" s="16">
        <v>38</v>
      </c>
      <c r="J20" s="19">
        <v>40</v>
      </c>
      <c r="K20" s="20">
        <v>36</v>
      </c>
      <c r="L20" s="21">
        <v>31</v>
      </c>
      <c r="N20" s="16">
        <v>9</v>
      </c>
      <c r="O20" s="17">
        <v>8</v>
      </c>
      <c r="P20" s="18">
        <v>10</v>
      </c>
      <c r="Q20" s="16">
        <v>8</v>
      </c>
      <c r="R20" s="19">
        <v>10</v>
      </c>
      <c r="S20" s="20">
        <v>8</v>
      </c>
      <c r="T20" s="21">
        <v>8</v>
      </c>
    </row>
    <row r="21" spans="1:20" ht="21" x14ac:dyDescent="0.35">
      <c r="A21" s="28">
        <v>19</v>
      </c>
      <c r="B21" s="29" t="s">
        <v>76</v>
      </c>
      <c r="C21" s="30" t="s">
        <v>121</v>
      </c>
      <c r="D21" s="30" t="s">
        <v>120</v>
      </c>
      <c r="E21" s="12" t="s">
        <v>120</v>
      </c>
      <c r="F21" s="16">
        <v>40</v>
      </c>
      <c r="G21" s="17">
        <v>35</v>
      </c>
      <c r="H21" s="18">
        <v>39</v>
      </c>
      <c r="I21" s="16">
        <v>35</v>
      </c>
      <c r="J21" s="19">
        <v>40</v>
      </c>
      <c r="K21" s="20">
        <v>35</v>
      </c>
      <c r="L21" s="21">
        <v>40</v>
      </c>
      <c r="N21" s="16">
        <v>10</v>
      </c>
      <c r="O21" s="17">
        <v>9</v>
      </c>
      <c r="P21" s="18">
        <v>10</v>
      </c>
      <c r="Q21" s="16">
        <v>10</v>
      </c>
      <c r="R21" s="19">
        <v>10</v>
      </c>
      <c r="S21" s="20">
        <v>8</v>
      </c>
      <c r="T21" s="21">
        <v>8</v>
      </c>
    </row>
    <row r="22" spans="1:20" ht="21" x14ac:dyDescent="0.35">
      <c r="A22" s="28">
        <v>20</v>
      </c>
      <c r="B22" s="29" t="s">
        <v>77</v>
      </c>
      <c r="C22" s="30" t="s">
        <v>122</v>
      </c>
      <c r="D22" s="30" t="s">
        <v>122</v>
      </c>
      <c r="E22" s="12" t="s">
        <v>122</v>
      </c>
      <c r="F22" s="16">
        <v>40</v>
      </c>
      <c r="G22" s="17">
        <v>36</v>
      </c>
      <c r="H22" s="18">
        <v>37</v>
      </c>
      <c r="I22" s="16">
        <v>40</v>
      </c>
      <c r="J22" s="19">
        <v>39</v>
      </c>
      <c r="K22" s="20">
        <v>39</v>
      </c>
      <c r="L22" s="21">
        <v>32</v>
      </c>
      <c r="N22" s="16">
        <v>8</v>
      </c>
      <c r="O22" s="17">
        <v>9</v>
      </c>
      <c r="P22" s="18">
        <v>8</v>
      </c>
      <c r="Q22" s="16">
        <v>10</v>
      </c>
      <c r="R22" s="19">
        <v>9</v>
      </c>
      <c r="S22" s="20">
        <v>10</v>
      </c>
      <c r="T22" s="21">
        <v>9</v>
      </c>
    </row>
    <row r="23" spans="1:20" ht="21" x14ac:dyDescent="0.35">
      <c r="A23" s="28">
        <v>21</v>
      </c>
      <c r="B23" s="29" t="s">
        <v>78</v>
      </c>
      <c r="C23" s="30" t="s">
        <v>132</v>
      </c>
      <c r="D23" s="30" t="s">
        <v>125</v>
      </c>
      <c r="E23" s="12" t="s">
        <v>125</v>
      </c>
      <c r="F23" s="16">
        <v>39</v>
      </c>
      <c r="G23" s="17">
        <v>33</v>
      </c>
      <c r="H23" s="18">
        <v>35</v>
      </c>
      <c r="I23" s="16">
        <v>31</v>
      </c>
      <c r="J23" s="19">
        <v>39</v>
      </c>
      <c r="K23" s="20">
        <v>35</v>
      </c>
      <c r="L23" s="21">
        <v>31</v>
      </c>
      <c r="N23" s="16">
        <v>8</v>
      </c>
      <c r="O23" s="17">
        <v>10</v>
      </c>
      <c r="P23" s="18">
        <v>9</v>
      </c>
      <c r="Q23" s="16">
        <v>10</v>
      </c>
      <c r="R23" s="19">
        <v>10</v>
      </c>
      <c r="S23" s="20">
        <v>9</v>
      </c>
      <c r="T23" s="21">
        <v>10</v>
      </c>
    </row>
    <row r="24" spans="1:20" ht="21" x14ac:dyDescent="0.35">
      <c r="A24" s="28">
        <v>22</v>
      </c>
      <c r="B24" s="29" t="s">
        <v>79</v>
      </c>
      <c r="C24" s="30" t="s">
        <v>123</v>
      </c>
      <c r="D24" s="30" t="s">
        <v>118</v>
      </c>
      <c r="E24" s="12" t="s">
        <v>118</v>
      </c>
      <c r="F24" s="16">
        <v>40</v>
      </c>
      <c r="G24" s="17">
        <v>30</v>
      </c>
      <c r="H24" s="18">
        <v>38</v>
      </c>
      <c r="I24" s="16">
        <v>39</v>
      </c>
      <c r="J24" s="19">
        <v>39</v>
      </c>
      <c r="K24" s="20">
        <v>36</v>
      </c>
      <c r="L24" s="21">
        <v>31</v>
      </c>
      <c r="N24" s="16">
        <v>9</v>
      </c>
      <c r="O24" s="17">
        <v>10</v>
      </c>
      <c r="P24" s="18">
        <v>9</v>
      </c>
      <c r="Q24" s="16">
        <v>9</v>
      </c>
      <c r="R24" s="19">
        <v>8</v>
      </c>
      <c r="S24" s="20">
        <v>9</v>
      </c>
      <c r="T24" s="21">
        <v>9</v>
      </c>
    </row>
    <row r="25" spans="1:20" ht="21" x14ac:dyDescent="0.35">
      <c r="A25" s="28">
        <v>23</v>
      </c>
      <c r="B25" s="29" t="s">
        <v>80</v>
      </c>
      <c r="C25" s="30" t="s">
        <v>124</v>
      </c>
      <c r="D25" s="30" t="s">
        <v>118</v>
      </c>
      <c r="E25" s="12" t="s">
        <v>118</v>
      </c>
      <c r="F25" s="16">
        <v>40</v>
      </c>
      <c r="G25" s="17">
        <v>34</v>
      </c>
      <c r="H25" s="18">
        <v>39</v>
      </c>
      <c r="I25" s="16">
        <v>34</v>
      </c>
      <c r="J25" s="19">
        <v>33</v>
      </c>
      <c r="K25" s="20">
        <v>38</v>
      </c>
      <c r="L25" s="21">
        <v>35</v>
      </c>
      <c r="N25" s="16">
        <v>8</v>
      </c>
      <c r="O25" s="17">
        <v>8</v>
      </c>
      <c r="P25" s="18">
        <v>8</v>
      </c>
      <c r="Q25" s="16">
        <v>10</v>
      </c>
      <c r="R25" s="19">
        <v>8</v>
      </c>
      <c r="S25" s="20">
        <v>10</v>
      </c>
      <c r="T25" s="21">
        <v>10</v>
      </c>
    </row>
    <row r="26" spans="1:20" ht="21" x14ac:dyDescent="0.35">
      <c r="A26" s="28">
        <v>24</v>
      </c>
      <c r="B26" s="29" t="s">
        <v>81</v>
      </c>
      <c r="C26" s="30" t="s">
        <v>116</v>
      </c>
      <c r="D26" s="30" t="s">
        <v>114</v>
      </c>
      <c r="E26" s="12" t="s">
        <v>114</v>
      </c>
      <c r="F26" s="16">
        <v>39</v>
      </c>
      <c r="G26" s="17">
        <v>32</v>
      </c>
      <c r="H26" s="18">
        <v>32</v>
      </c>
      <c r="I26" s="16">
        <v>31</v>
      </c>
      <c r="J26" s="19">
        <v>37</v>
      </c>
      <c r="K26" s="20">
        <v>39</v>
      </c>
      <c r="L26" s="21">
        <v>37</v>
      </c>
      <c r="N26" s="16">
        <v>8</v>
      </c>
      <c r="O26" s="17">
        <v>8</v>
      </c>
      <c r="P26" s="18">
        <v>8</v>
      </c>
      <c r="Q26" s="16">
        <v>9</v>
      </c>
      <c r="R26" s="19">
        <v>8</v>
      </c>
      <c r="S26" s="20">
        <v>8</v>
      </c>
      <c r="T26" s="21">
        <v>8</v>
      </c>
    </row>
    <row r="27" spans="1:20" ht="21" x14ac:dyDescent="0.35">
      <c r="A27" s="28">
        <v>25</v>
      </c>
      <c r="B27" s="29" t="s">
        <v>82</v>
      </c>
      <c r="C27" s="30" t="s">
        <v>116</v>
      </c>
      <c r="D27" s="30" t="s">
        <v>109</v>
      </c>
      <c r="E27" s="12" t="s">
        <v>109</v>
      </c>
      <c r="F27" s="16">
        <v>39</v>
      </c>
      <c r="G27" s="17">
        <v>37</v>
      </c>
      <c r="H27" s="18">
        <v>32</v>
      </c>
      <c r="I27" s="16">
        <v>39</v>
      </c>
      <c r="J27" s="19">
        <v>31</v>
      </c>
      <c r="K27" s="20">
        <v>39</v>
      </c>
      <c r="L27" s="21">
        <v>37</v>
      </c>
      <c r="N27" s="16">
        <v>9</v>
      </c>
      <c r="O27" s="17">
        <v>8</v>
      </c>
      <c r="P27" s="18">
        <v>8</v>
      </c>
      <c r="Q27" s="16">
        <v>8</v>
      </c>
      <c r="R27" s="19">
        <v>8</v>
      </c>
      <c r="S27" s="20">
        <v>8</v>
      </c>
      <c r="T27" s="21">
        <v>10</v>
      </c>
    </row>
    <row r="28" spans="1:20" ht="21" x14ac:dyDescent="0.35">
      <c r="A28" s="28">
        <v>26</v>
      </c>
      <c r="B28" s="29" t="s">
        <v>83</v>
      </c>
      <c r="C28" s="30" t="s">
        <v>116</v>
      </c>
      <c r="D28" s="30" t="s">
        <v>110</v>
      </c>
      <c r="E28" s="12" t="s">
        <v>110</v>
      </c>
      <c r="F28" s="16">
        <v>40</v>
      </c>
      <c r="G28" s="17">
        <v>39</v>
      </c>
      <c r="H28" s="18">
        <v>39</v>
      </c>
      <c r="I28" s="16">
        <v>35</v>
      </c>
      <c r="J28" s="19">
        <v>38</v>
      </c>
      <c r="K28" s="20">
        <v>39</v>
      </c>
      <c r="L28" s="21">
        <v>31</v>
      </c>
      <c r="N28" s="16">
        <v>9</v>
      </c>
      <c r="O28" s="17">
        <v>8</v>
      </c>
      <c r="P28" s="18">
        <v>10</v>
      </c>
      <c r="Q28" s="16">
        <v>8</v>
      </c>
      <c r="R28" s="19">
        <v>10</v>
      </c>
      <c r="S28" s="20">
        <v>8</v>
      </c>
      <c r="T28" s="21">
        <v>10</v>
      </c>
    </row>
    <row r="29" spans="1:20" ht="21" x14ac:dyDescent="0.35">
      <c r="A29" s="28">
        <v>27</v>
      </c>
      <c r="B29" s="29" t="s">
        <v>84</v>
      </c>
      <c r="C29" s="30" t="s">
        <v>116</v>
      </c>
      <c r="D29" s="30" t="s">
        <v>111</v>
      </c>
      <c r="E29" s="12" t="s">
        <v>111</v>
      </c>
      <c r="F29" s="16">
        <v>40</v>
      </c>
      <c r="G29" s="17">
        <v>32</v>
      </c>
      <c r="H29" s="18">
        <v>32</v>
      </c>
      <c r="I29" s="16">
        <v>39</v>
      </c>
      <c r="J29" s="19">
        <v>32</v>
      </c>
      <c r="K29" s="20">
        <v>31</v>
      </c>
      <c r="L29" s="21">
        <v>33</v>
      </c>
      <c r="N29" s="16">
        <v>10</v>
      </c>
      <c r="O29" s="17">
        <v>9</v>
      </c>
      <c r="P29" s="18">
        <v>10</v>
      </c>
      <c r="Q29" s="16">
        <v>9</v>
      </c>
      <c r="R29" s="19">
        <v>9</v>
      </c>
      <c r="S29" s="20">
        <v>8</v>
      </c>
      <c r="T29" s="21">
        <v>9</v>
      </c>
    </row>
    <row r="30" spans="1:20" ht="21" x14ac:dyDescent="0.35">
      <c r="A30" s="28">
        <v>28</v>
      </c>
      <c r="B30" s="29" t="s">
        <v>85</v>
      </c>
      <c r="C30" s="30" t="s">
        <v>120</v>
      </c>
      <c r="D30" s="30" t="s">
        <v>113</v>
      </c>
      <c r="E30" s="12" t="s">
        <v>113</v>
      </c>
      <c r="F30" s="16">
        <v>38</v>
      </c>
      <c r="G30" s="17">
        <v>37</v>
      </c>
      <c r="H30" s="18">
        <v>35</v>
      </c>
      <c r="I30" s="16">
        <v>37</v>
      </c>
      <c r="J30" s="19">
        <v>31</v>
      </c>
      <c r="K30" s="20">
        <v>30</v>
      </c>
      <c r="L30" s="21">
        <v>36</v>
      </c>
      <c r="N30" s="16">
        <v>9</v>
      </c>
      <c r="O30" s="17">
        <v>9</v>
      </c>
      <c r="P30" s="18">
        <v>9</v>
      </c>
      <c r="Q30" s="16">
        <v>10</v>
      </c>
      <c r="R30" s="19">
        <v>9</v>
      </c>
      <c r="S30" s="20">
        <v>8</v>
      </c>
      <c r="T30" s="21">
        <v>10</v>
      </c>
    </row>
    <row r="31" spans="1:20" ht="21" x14ac:dyDescent="0.35">
      <c r="A31" s="28">
        <v>29</v>
      </c>
      <c r="B31" s="29" t="s">
        <v>86</v>
      </c>
      <c r="C31" s="30" t="s">
        <v>123</v>
      </c>
      <c r="D31" s="30" t="s">
        <v>132</v>
      </c>
      <c r="E31" s="12" t="s">
        <v>132</v>
      </c>
      <c r="F31" s="16">
        <v>35</v>
      </c>
      <c r="G31" s="17">
        <v>39</v>
      </c>
      <c r="H31" s="18">
        <v>36</v>
      </c>
      <c r="I31" s="16">
        <v>36</v>
      </c>
      <c r="J31" s="19">
        <v>36</v>
      </c>
      <c r="K31" s="20">
        <v>35</v>
      </c>
      <c r="L31" s="21">
        <v>39</v>
      </c>
      <c r="N31" s="16">
        <v>10</v>
      </c>
      <c r="O31" s="17">
        <v>9</v>
      </c>
      <c r="P31" s="18">
        <v>10</v>
      </c>
      <c r="Q31" s="16">
        <v>10</v>
      </c>
      <c r="R31" s="19">
        <v>8</v>
      </c>
      <c r="S31" s="20">
        <v>9</v>
      </c>
      <c r="T31" s="21">
        <v>8</v>
      </c>
    </row>
    <row r="32" spans="1:20" ht="21" x14ac:dyDescent="0.35">
      <c r="A32" s="28">
        <v>30</v>
      </c>
      <c r="B32" s="29" t="s">
        <v>87</v>
      </c>
      <c r="C32" s="30" t="s">
        <v>132</v>
      </c>
      <c r="D32" s="30" t="s">
        <v>113</v>
      </c>
      <c r="E32" s="12" t="s">
        <v>113</v>
      </c>
      <c r="F32" s="16">
        <v>40</v>
      </c>
      <c r="G32" s="17">
        <v>32</v>
      </c>
      <c r="H32" s="18">
        <v>32</v>
      </c>
      <c r="I32" s="16">
        <v>33</v>
      </c>
      <c r="J32" s="19">
        <v>31</v>
      </c>
      <c r="K32" s="20">
        <v>39</v>
      </c>
      <c r="L32" s="21">
        <v>34</v>
      </c>
      <c r="N32" s="16">
        <v>9</v>
      </c>
      <c r="O32" s="17">
        <v>9</v>
      </c>
      <c r="P32" s="18">
        <v>9</v>
      </c>
      <c r="Q32" s="16">
        <v>8</v>
      </c>
      <c r="R32" s="19">
        <v>10</v>
      </c>
      <c r="S32" s="20">
        <v>10</v>
      </c>
      <c r="T32" s="21">
        <v>8</v>
      </c>
    </row>
    <row r="33" spans="1:20" ht="21" x14ac:dyDescent="0.35">
      <c r="A33" s="28">
        <v>31</v>
      </c>
      <c r="B33" s="29" t="s">
        <v>88</v>
      </c>
      <c r="C33" s="30" t="s">
        <v>125</v>
      </c>
      <c r="D33" s="30" t="s">
        <v>108</v>
      </c>
      <c r="E33" s="12" t="s">
        <v>108</v>
      </c>
      <c r="F33" s="16">
        <v>35</v>
      </c>
      <c r="G33" s="17">
        <v>35</v>
      </c>
      <c r="H33" s="18">
        <v>36</v>
      </c>
      <c r="I33" s="16">
        <v>31</v>
      </c>
      <c r="J33" s="19">
        <v>35</v>
      </c>
      <c r="K33" s="20">
        <v>40</v>
      </c>
      <c r="L33" s="21">
        <v>37</v>
      </c>
      <c r="N33" s="16">
        <v>9</v>
      </c>
      <c r="O33" s="17">
        <v>8</v>
      </c>
      <c r="P33" s="18">
        <v>8</v>
      </c>
      <c r="Q33" s="16">
        <v>10</v>
      </c>
      <c r="R33" s="19">
        <v>10</v>
      </c>
      <c r="S33" s="20">
        <v>10</v>
      </c>
      <c r="T33" s="21">
        <v>8</v>
      </c>
    </row>
    <row r="34" spans="1:20" ht="21" x14ac:dyDescent="0.35">
      <c r="A34" s="28">
        <v>32</v>
      </c>
      <c r="B34" s="29" t="s">
        <v>89</v>
      </c>
      <c r="C34" s="30" t="s">
        <v>114</v>
      </c>
      <c r="D34" s="30" t="s">
        <v>109</v>
      </c>
      <c r="E34" s="12" t="s">
        <v>109</v>
      </c>
      <c r="F34" s="16">
        <v>40</v>
      </c>
      <c r="G34" s="17">
        <v>40</v>
      </c>
      <c r="H34" s="18">
        <v>33</v>
      </c>
      <c r="I34" s="16">
        <v>30</v>
      </c>
      <c r="J34" s="19">
        <v>34</v>
      </c>
      <c r="K34" s="20">
        <v>35</v>
      </c>
      <c r="L34" s="21">
        <v>30</v>
      </c>
      <c r="N34" s="16">
        <v>9</v>
      </c>
      <c r="O34" s="17">
        <v>10</v>
      </c>
      <c r="P34" s="18">
        <v>8</v>
      </c>
      <c r="Q34" s="16">
        <v>10</v>
      </c>
      <c r="R34" s="19">
        <v>9</v>
      </c>
      <c r="S34" s="20">
        <v>8</v>
      </c>
      <c r="T34" s="21">
        <v>10</v>
      </c>
    </row>
    <row r="35" spans="1:20" ht="21" x14ac:dyDescent="0.35">
      <c r="A35" s="28">
        <v>33</v>
      </c>
      <c r="B35" s="29" t="s">
        <v>90</v>
      </c>
      <c r="C35" s="30" t="s">
        <v>121</v>
      </c>
      <c r="D35" s="30" t="s">
        <v>108</v>
      </c>
      <c r="E35" s="12" t="s">
        <v>108</v>
      </c>
      <c r="F35" s="16">
        <v>38</v>
      </c>
      <c r="G35" s="17">
        <v>37</v>
      </c>
      <c r="H35" s="18">
        <v>40</v>
      </c>
      <c r="I35" s="16">
        <v>34</v>
      </c>
      <c r="J35" s="19">
        <v>32</v>
      </c>
      <c r="K35" s="20">
        <v>30</v>
      </c>
      <c r="L35" s="21">
        <v>31</v>
      </c>
      <c r="N35" s="16">
        <v>8</v>
      </c>
      <c r="O35" s="17">
        <v>8</v>
      </c>
      <c r="P35" s="18">
        <v>10</v>
      </c>
      <c r="Q35" s="16">
        <v>8</v>
      </c>
      <c r="R35" s="19">
        <v>9</v>
      </c>
      <c r="S35" s="20">
        <v>8</v>
      </c>
      <c r="T35" s="21">
        <v>9</v>
      </c>
    </row>
    <row r="36" spans="1:20" ht="21" x14ac:dyDescent="0.35">
      <c r="A36" s="28">
        <v>34</v>
      </c>
      <c r="B36" s="29" t="s">
        <v>91</v>
      </c>
      <c r="C36" s="30" t="s">
        <v>117</v>
      </c>
      <c r="D36" s="30" t="s">
        <v>110</v>
      </c>
      <c r="E36" s="12" t="s">
        <v>110</v>
      </c>
      <c r="F36" s="16">
        <v>38</v>
      </c>
      <c r="G36" s="17">
        <v>33</v>
      </c>
      <c r="H36" s="18">
        <v>30</v>
      </c>
      <c r="I36" s="16">
        <v>39</v>
      </c>
      <c r="J36" s="19">
        <v>38</v>
      </c>
      <c r="K36" s="20">
        <v>36</v>
      </c>
      <c r="L36" s="21">
        <v>31</v>
      </c>
      <c r="N36" s="16">
        <v>10</v>
      </c>
      <c r="O36" s="17">
        <v>9</v>
      </c>
      <c r="P36" s="18">
        <v>8</v>
      </c>
      <c r="Q36" s="16">
        <v>10</v>
      </c>
      <c r="R36" s="19">
        <v>9</v>
      </c>
      <c r="S36" s="20">
        <v>9</v>
      </c>
      <c r="T36" s="21">
        <v>10</v>
      </c>
    </row>
    <row r="37" spans="1:20" ht="21" x14ac:dyDescent="0.35">
      <c r="A37" s="28">
        <v>35</v>
      </c>
      <c r="B37" s="29" t="s">
        <v>92</v>
      </c>
      <c r="C37" s="30" t="s">
        <v>124</v>
      </c>
      <c r="D37" s="30" t="s">
        <v>111</v>
      </c>
      <c r="E37" s="12" t="s">
        <v>111</v>
      </c>
      <c r="F37" s="16">
        <v>38</v>
      </c>
      <c r="G37" s="17">
        <v>32</v>
      </c>
      <c r="H37" s="18">
        <v>38</v>
      </c>
      <c r="I37" s="16">
        <v>38</v>
      </c>
      <c r="J37" s="19">
        <v>32</v>
      </c>
      <c r="K37" s="20">
        <v>37</v>
      </c>
      <c r="L37" s="21">
        <v>36</v>
      </c>
      <c r="N37" s="16">
        <v>8</v>
      </c>
      <c r="O37" s="17">
        <v>8</v>
      </c>
      <c r="P37" s="18">
        <v>9</v>
      </c>
      <c r="Q37" s="16">
        <v>10</v>
      </c>
      <c r="R37" s="19">
        <v>10</v>
      </c>
      <c r="S37" s="20">
        <v>10</v>
      </c>
      <c r="T37" s="21">
        <v>9</v>
      </c>
    </row>
    <row r="38" spans="1:20" ht="21" x14ac:dyDescent="0.35">
      <c r="A38" s="28">
        <v>36</v>
      </c>
      <c r="B38" s="29" t="s">
        <v>93</v>
      </c>
      <c r="C38" s="30" t="s">
        <v>120</v>
      </c>
      <c r="D38" s="30" t="s">
        <v>112</v>
      </c>
      <c r="E38" s="12" t="s">
        <v>112</v>
      </c>
      <c r="F38" s="16">
        <v>30</v>
      </c>
      <c r="G38" s="17">
        <v>35</v>
      </c>
      <c r="H38" s="18">
        <v>31</v>
      </c>
      <c r="I38" s="16">
        <v>34</v>
      </c>
      <c r="J38" s="19">
        <v>30</v>
      </c>
      <c r="K38" s="20">
        <v>33</v>
      </c>
      <c r="L38" s="21">
        <v>33</v>
      </c>
      <c r="N38" s="16">
        <v>8</v>
      </c>
      <c r="O38" s="17">
        <v>8</v>
      </c>
      <c r="P38" s="18">
        <v>8</v>
      </c>
      <c r="Q38" s="16">
        <v>8</v>
      </c>
      <c r="R38" s="19">
        <v>10</v>
      </c>
      <c r="S38" s="20">
        <v>9</v>
      </c>
      <c r="T38" s="21">
        <v>10</v>
      </c>
    </row>
    <row r="39" spans="1:20" ht="21" x14ac:dyDescent="0.35">
      <c r="A39" s="28">
        <v>37</v>
      </c>
      <c r="B39" s="29" t="s">
        <v>94</v>
      </c>
      <c r="C39" s="30" t="s">
        <v>117</v>
      </c>
      <c r="D39" s="30" t="s">
        <v>113</v>
      </c>
      <c r="E39" s="12" t="s">
        <v>113</v>
      </c>
      <c r="F39" s="16">
        <v>31</v>
      </c>
      <c r="G39" s="17">
        <v>30</v>
      </c>
      <c r="H39" s="18">
        <v>35</v>
      </c>
      <c r="I39" s="16">
        <v>35</v>
      </c>
      <c r="J39" s="19">
        <v>36</v>
      </c>
      <c r="K39" s="20">
        <v>36</v>
      </c>
      <c r="L39" s="21">
        <v>37</v>
      </c>
      <c r="N39" s="16">
        <v>9</v>
      </c>
      <c r="O39" s="17">
        <v>10</v>
      </c>
      <c r="P39" s="18">
        <v>9</v>
      </c>
      <c r="Q39" s="16">
        <v>8</v>
      </c>
      <c r="R39" s="19">
        <v>10</v>
      </c>
      <c r="S39" s="20">
        <v>9</v>
      </c>
      <c r="T39" s="21">
        <v>8</v>
      </c>
    </row>
    <row r="40" spans="1:20" ht="21" x14ac:dyDescent="0.35">
      <c r="A40" s="28">
        <v>38</v>
      </c>
      <c r="B40" s="29" t="s">
        <v>95</v>
      </c>
      <c r="C40" s="30" t="s">
        <v>132</v>
      </c>
      <c r="D40" s="30" t="s">
        <v>114</v>
      </c>
      <c r="E40" s="12" t="s">
        <v>114</v>
      </c>
      <c r="F40" s="16">
        <v>40</v>
      </c>
      <c r="G40" s="17">
        <v>30</v>
      </c>
      <c r="H40" s="18">
        <v>40</v>
      </c>
      <c r="I40" s="16">
        <v>31</v>
      </c>
      <c r="J40" s="19">
        <v>36</v>
      </c>
      <c r="K40" s="20">
        <v>38</v>
      </c>
      <c r="L40" s="21">
        <v>30</v>
      </c>
      <c r="N40" s="16">
        <v>9</v>
      </c>
      <c r="O40" s="17">
        <v>8</v>
      </c>
      <c r="P40" s="18">
        <v>8</v>
      </c>
      <c r="Q40" s="16">
        <v>9</v>
      </c>
      <c r="R40" s="19">
        <v>8</v>
      </c>
      <c r="S40" s="20">
        <v>8</v>
      </c>
      <c r="T40" s="21">
        <v>10</v>
      </c>
    </row>
    <row r="41" spans="1:20" ht="21" x14ac:dyDescent="0.35">
      <c r="A41" s="28">
        <v>39</v>
      </c>
      <c r="B41" s="29" t="s">
        <v>96</v>
      </c>
      <c r="C41" s="30" t="s">
        <v>117</v>
      </c>
      <c r="D41" s="30" t="s">
        <v>112</v>
      </c>
      <c r="E41" s="12" t="s">
        <v>112</v>
      </c>
      <c r="F41" s="16">
        <v>40</v>
      </c>
      <c r="G41" s="17">
        <v>31</v>
      </c>
      <c r="H41" s="18">
        <v>38</v>
      </c>
      <c r="I41" s="16">
        <v>34</v>
      </c>
      <c r="J41" s="19">
        <v>33</v>
      </c>
      <c r="K41" s="20">
        <v>32</v>
      </c>
      <c r="L41" s="21">
        <v>35</v>
      </c>
      <c r="N41" s="16">
        <v>10</v>
      </c>
      <c r="O41" s="17">
        <v>9</v>
      </c>
      <c r="P41" s="18">
        <v>9</v>
      </c>
      <c r="Q41" s="16">
        <v>10</v>
      </c>
      <c r="R41" s="19">
        <v>10</v>
      </c>
      <c r="S41" s="20">
        <v>8</v>
      </c>
      <c r="T41" s="21">
        <v>10</v>
      </c>
    </row>
    <row r="42" spans="1:20" ht="21" x14ac:dyDescent="0.35">
      <c r="A42" s="28">
        <v>40</v>
      </c>
      <c r="B42" s="29" t="s">
        <v>97</v>
      </c>
      <c r="C42" s="30" t="s">
        <v>118</v>
      </c>
      <c r="D42" s="30" t="s">
        <v>115</v>
      </c>
      <c r="E42" s="12" t="s">
        <v>115</v>
      </c>
      <c r="F42" s="16">
        <v>32</v>
      </c>
      <c r="G42" s="17">
        <v>31</v>
      </c>
      <c r="H42" s="18">
        <v>36</v>
      </c>
      <c r="I42" s="16">
        <v>34</v>
      </c>
      <c r="J42" s="19">
        <v>38</v>
      </c>
      <c r="K42" s="20">
        <v>36</v>
      </c>
      <c r="L42" s="21">
        <v>33</v>
      </c>
      <c r="N42" s="16">
        <v>10</v>
      </c>
      <c r="O42" s="17">
        <v>8</v>
      </c>
      <c r="P42" s="18">
        <v>8</v>
      </c>
      <c r="Q42" s="16">
        <v>8</v>
      </c>
      <c r="R42" s="19">
        <v>8</v>
      </c>
      <c r="S42" s="20">
        <v>8</v>
      </c>
      <c r="T42" s="21">
        <v>9</v>
      </c>
    </row>
    <row r="43" spans="1:20" ht="21" x14ac:dyDescent="0.35">
      <c r="A43" s="28">
        <v>41</v>
      </c>
      <c r="B43" s="29" t="s">
        <v>98</v>
      </c>
      <c r="C43" s="30" t="s">
        <v>120</v>
      </c>
      <c r="D43" s="30" t="s">
        <v>116</v>
      </c>
      <c r="E43" s="12" t="s">
        <v>116</v>
      </c>
      <c r="F43" s="16">
        <v>38</v>
      </c>
      <c r="G43" s="17">
        <v>34</v>
      </c>
      <c r="H43" s="18">
        <v>31</v>
      </c>
      <c r="I43" s="16">
        <v>33</v>
      </c>
      <c r="J43" s="19">
        <v>32</v>
      </c>
      <c r="K43" s="20">
        <v>38</v>
      </c>
      <c r="L43" s="21">
        <v>34</v>
      </c>
      <c r="N43" s="16">
        <v>8</v>
      </c>
      <c r="O43" s="17">
        <v>9</v>
      </c>
      <c r="P43" s="18">
        <v>8</v>
      </c>
      <c r="Q43" s="16">
        <v>8</v>
      </c>
      <c r="R43" s="19">
        <v>8</v>
      </c>
      <c r="S43" s="20">
        <v>10</v>
      </c>
      <c r="T43" s="21">
        <v>10</v>
      </c>
    </row>
    <row r="44" spans="1:20" ht="21" x14ac:dyDescent="0.35">
      <c r="A44" s="28">
        <v>42</v>
      </c>
      <c r="B44" s="29" t="s">
        <v>99</v>
      </c>
      <c r="C44" s="30" t="s">
        <v>115</v>
      </c>
      <c r="D44" s="30" t="s">
        <v>108</v>
      </c>
      <c r="E44" s="12" t="s">
        <v>108</v>
      </c>
      <c r="F44" s="16">
        <v>38</v>
      </c>
      <c r="G44" s="17">
        <v>39</v>
      </c>
      <c r="H44" s="18">
        <v>37</v>
      </c>
      <c r="I44" s="16">
        <v>38</v>
      </c>
      <c r="J44" s="19">
        <v>36</v>
      </c>
      <c r="K44" s="20">
        <v>32</v>
      </c>
      <c r="L44" s="21">
        <v>34</v>
      </c>
      <c r="N44" s="16">
        <v>9</v>
      </c>
      <c r="O44" s="17">
        <v>9</v>
      </c>
      <c r="P44" s="18">
        <v>10</v>
      </c>
      <c r="Q44" s="16">
        <v>10</v>
      </c>
      <c r="R44" s="19">
        <v>8</v>
      </c>
      <c r="S44" s="20">
        <v>10</v>
      </c>
      <c r="T44" s="21">
        <v>8</v>
      </c>
    </row>
    <row r="45" spans="1:20" ht="21" x14ac:dyDescent="0.35">
      <c r="A45" s="28">
        <v>43</v>
      </c>
      <c r="B45" s="29" t="s">
        <v>100</v>
      </c>
      <c r="C45" s="30" t="s">
        <v>132</v>
      </c>
      <c r="D45" s="30" t="s">
        <v>117</v>
      </c>
      <c r="E45" s="12" t="s">
        <v>117</v>
      </c>
      <c r="F45" s="16">
        <v>34</v>
      </c>
      <c r="G45" s="17">
        <v>39</v>
      </c>
      <c r="H45" s="18">
        <v>37</v>
      </c>
      <c r="I45" s="16">
        <v>31</v>
      </c>
      <c r="J45" s="19">
        <v>34</v>
      </c>
      <c r="K45" s="20">
        <v>38</v>
      </c>
      <c r="L45" s="21">
        <v>37</v>
      </c>
      <c r="N45" s="16">
        <v>9</v>
      </c>
      <c r="O45" s="17">
        <v>10</v>
      </c>
      <c r="P45" s="18">
        <v>9</v>
      </c>
      <c r="Q45" s="16">
        <v>10</v>
      </c>
      <c r="R45" s="19">
        <v>8</v>
      </c>
      <c r="S45" s="20">
        <v>10</v>
      </c>
      <c r="T45" s="21">
        <v>9</v>
      </c>
    </row>
    <row r="46" spans="1:20" ht="21" x14ac:dyDescent="0.35">
      <c r="A46" s="28">
        <v>44</v>
      </c>
      <c r="B46" s="29" t="s">
        <v>101</v>
      </c>
      <c r="C46" s="30" t="s">
        <v>122</v>
      </c>
      <c r="D46" s="30" t="s">
        <v>118</v>
      </c>
      <c r="E46" s="12" t="s">
        <v>118</v>
      </c>
      <c r="F46" s="16">
        <v>31</v>
      </c>
      <c r="G46" s="17">
        <v>32</v>
      </c>
      <c r="H46" s="18">
        <v>32</v>
      </c>
      <c r="I46" s="16">
        <v>35</v>
      </c>
      <c r="J46" s="19">
        <v>40</v>
      </c>
      <c r="K46" s="20">
        <v>33</v>
      </c>
      <c r="L46" s="21">
        <v>39</v>
      </c>
      <c r="N46" s="16">
        <v>9</v>
      </c>
      <c r="O46" s="17">
        <v>8</v>
      </c>
      <c r="P46" s="18">
        <v>10</v>
      </c>
      <c r="Q46" s="16">
        <v>10</v>
      </c>
      <c r="R46" s="19">
        <v>9</v>
      </c>
      <c r="S46" s="20">
        <v>8</v>
      </c>
      <c r="T46" s="21">
        <v>10</v>
      </c>
    </row>
    <row r="47" spans="1:20" ht="21" x14ac:dyDescent="0.35">
      <c r="A47" s="28">
        <v>45</v>
      </c>
      <c r="B47" s="29" t="s">
        <v>102</v>
      </c>
      <c r="C47" s="30" t="s">
        <v>110</v>
      </c>
      <c r="D47" s="30" t="s">
        <v>119</v>
      </c>
      <c r="E47" s="12" t="s">
        <v>119</v>
      </c>
      <c r="F47" s="16">
        <v>31</v>
      </c>
      <c r="G47" s="17">
        <v>37</v>
      </c>
      <c r="H47" s="18">
        <v>40</v>
      </c>
      <c r="I47" s="16">
        <v>30</v>
      </c>
      <c r="J47" s="19">
        <v>32</v>
      </c>
      <c r="K47" s="20">
        <v>38</v>
      </c>
      <c r="L47" s="21">
        <v>37</v>
      </c>
      <c r="N47" s="16">
        <v>8</v>
      </c>
      <c r="O47" s="17">
        <v>10</v>
      </c>
      <c r="P47" s="18">
        <v>10</v>
      </c>
      <c r="Q47" s="16">
        <v>10</v>
      </c>
      <c r="R47" s="19">
        <v>8</v>
      </c>
      <c r="S47" s="20">
        <v>10</v>
      </c>
      <c r="T47" s="21">
        <v>10</v>
      </c>
    </row>
    <row r="48" spans="1:20" ht="21" x14ac:dyDescent="0.35">
      <c r="A48" s="28">
        <v>46</v>
      </c>
      <c r="B48" s="29" t="s">
        <v>103</v>
      </c>
      <c r="C48" s="30" t="s">
        <v>108</v>
      </c>
      <c r="D48" s="30" t="s">
        <v>120</v>
      </c>
      <c r="E48" s="12" t="s">
        <v>120</v>
      </c>
      <c r="F48" s="16">
        <v>39</v>
      </c>
      <c r="G48" s="17">
        <v>31</v>
      </c>
      <c r="H48" s="18">
        <v>37</v>
      </c>
      <c r="I48" s="16">
        <v>30</v>
      </c>
      <c r="J48" s="19">
        <v>30</v>
      </c>
      <c r="K48" s="20">
        <v>37</v>
      </c>
      <c r="L48" s="21">
        <v>39</v>
      </c>
      <c r="N48" s="16">
        <v>10</v>
      </c>
      <c r="O48" s="17">
        <v>9</v>
      </c>
      <c r="P48" s="18">
        <v>9</v>
      </c>
      <c r="Q48" s="16">
        <v>8</v>
      </c>
      <c r="R48" s="19">
        <v>10</v>
      </c>
      <c r="S48" s="20">
        <v>9</v>
      </c>
      <c r="T48" s="21">
        <v>8</v>
      </c>
    </row>
    <row r="49" spans="1:20" ht="21" x14ac:dyDescent="0.35">
      <c r="A49" s="28">
        <v>47</v>
      </c>
      <c r="B49" s="29" t="s">
        <v>104</v>
      </c>
      <c r="C49" s="30" t="s">
        <v>123</v>
      </c>
      <c r="D49" s="30" t="s">
        <v>117</v>
      </c>
      <c r="E49" s="12" t="s">
        <v>117</v>
      </c>
      <c r="F49" s="16">
        <v>33</v>
      </c>
      <c r="G49" s="17">
        <v>39</v>
      </c>
      <c r="H49" s="18">
        <v>35</v>
      </c>
      <c r="I49" s="16">
        <v>31</v>
      </c>
      <c r="J49" s="19">
        <v>32</v>
      </c>
      <c r="K49" s="20">
        <v>34</v>
      </c>
      <c r="L49" s="21">
        <v>39</v>
      </c>
      <c r="N49" s="16">
        <v>8</v>
      </c>
      <c r="O49" s="17">
        <v>8</v>
      </c>
      <c r="P49" s="18">
        <v>9</v>
      </c>
      <c r="Q49" s="16">
        <v>9</v>
      </c>
      <c r="R49" s="19">
        <v>8</v>
      </c>
      <c r="S49" s="20">
        <v>8</v>
      </c>
      <c r="T49" s="21">
        <v>8</v>
      </c>
    </row>
    <row r="50" spans="1:20" ht="21" x14ac:dyDescent="0.35">
      <c r="A50" s="28">
        <v>48</v>
      </c>
      <c r="B50" s="29" t="s">
        <v>105</v>
      </c>
      <c r="C50" s="30" t="s">
        <v>108</v>
      </c>
      <c r="D50" s="30" t="s">
        <v>116</v>
      </c>
      <c r="E50" s="12" t="s">
        <v>116</v>
      </c>
      <c r="F50" s="16">
        <v>39</v>
      </c>
      <c r="G50" s="17">
        <v>34</v>
      </c>
      <c r="H50" s="18">
        <v>35</v>
      </c>
      <c r="I50" s="16">
        <v>35</v>
      </c>
      <c r="J50" s="19">
        <v>30</v>
      </c>
      <c r="K50" s="20">
        <v>38</v>
      </c>
      <c r="L50" s="21">
        <v>30</v>
      </c>
      <c r="N50" s="16">
        <v>9</v>
      </c>
      <c r="O50" s="17">
        <v>9</v>
      </c>
      <c r="P50" s="18">
        <v>10</v>
      </c>
      <c r="Q50" s="16">
        <v>10</v>
      </c>
      <c r="R50" s="19">
        <v>8</v>
      </c>
      <c r="S50" s="20">
        <v>9</v>
      </c>
      <c r="T50" s="21">
        <v>9</v>
      </c>
    </row>
    <row r="51" spans="1:20" ht="21" x14ac:dyDescent="0.35">
      <c r="A51" s="28">
        <v>49</v>
      </c>
      <c r="B51" s="29" t="s">
        <v>106</v>
      </c>
      <c r="C51" s="30" t="s">
        <v>124</v>
      </c>
      <c r="D51" s="30" t="s">
        <v>121</v>
      </c>
      <c r="E51" s="12" t="s">
        <v>121</v>
      </c>
      <c r="F51" s="16">
        <v>38</v>
      </c>
      <c r="G51" s="17">
        <v>40</v>
      </c>
      <c r="H51" s="18">
        <v>36</v>
      </c>
      <c r="I51" s="16">
        <v>30</v>
      </c>
      <c r="J51" s="19">
        <v>39</v>
      </c>
      <c r="K51" s="20">
        <v>31</v>
      </c>
      <c r="L51" s="21">
        <v>36</v>
      </c>
      <c r="N51" s="16">
        <v>9</v>
      </c>
      <c r="O51" s="17">
        <v>10</v>
      </c>
      <c r="P51" s="18">
        <v>9</v>
      </c>
      <c r="Q51" s="16">
        <v>8</v>
      </c>
      <c r="R51" s="19">
        <v>9</v>
      </c>
      <c r="S51" s="20">
        <v>10</v>
      </c>
      <c r="T51" s="21">
        <v>8</v>
      </c>
    </row>
    <row r="52" spans="1:20" ht="21" x14ac:dyDescent="0.35">
      <c r="A52" s="28">
        <v>50</v>
      </c>
      <c r="B52" s="29" t="s">
        <v>107</v>
      </c>
      <c r="C52" s="30" t="s">
        <v>124</v>
      </c>
      <c r="D52" s="30" t="s">
        <v>122</v>
      </c>
      <c r="E52" s="12" t="s">
        <v>122</v>
      </c>
      <c r="F52" s="16">
        <v>36</v>
      </c>
      <c r="G52" s="17">
        <v>34</v>
      </c>
      <c r="H52" s="18">
        <v>34</v>
      </c>
      <c r="I52" s="16">
        <v>37</v>
      </c>
      <c r="J52" s="19">
        <v>38</v>
      </c>
      <c r="K52" s="20">
        <v>37</v>
      </c>
      <c r="L52" s="21">
        <v>37</v>
      </c>
      <c r="N52" s="16">
        <v>9</v>
      </c>
      <c r="O52" s="17">
        <v>9</v>
      </c>
      <c r="P52" s="18">
        <v>10</v>
      </c>
      <c r="Q52" s="16">
        <v>8</v>
      </c>
      <c r="R52" s="19">
        <v>9</v>
      </c>
      <c r="S52" s="20">
        <v>9</v>
      </c>
      <c r="T52" s="21">
        <v>8</v>
      </c>
    </row>
  </sheetData>
  <mergeCells count="2">
    <mergeCell ref="F1:L1"/>
    <mergeCell ref="N1:T1"/>
  </mergeCells>
  <phoneticPr fontId="11" type="noConversion"/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1DFD9-619B-4750-8CBD-60E8156AF078}">
  <sheetPr codeName="Sheet4">
    <tabColor rgb="FF00B050"/>
  </sheetPr>
  <dimension ref="A1:U52"/>
  <sheetViews>
    <sheetView zoomScale="90" zoomScaleNormal="9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I10" sqref="I10"/>
    </sheetView>
  </sheetViews>
  <sheetFormatPr defaultRowHeight="15" x14ac:dyDescent="0.25"/>
  <cols>
    <col min="1" max="1" width="7.140625" customWidth="1"/>
    <col min="2" max="2" width="16.140625" customWidth="1"/>
    <col min="3" max="3" width="25.42578125" customWidth="1"/>
    <col min="4" max="4" width="25.85546875" customWidth="1"/>
    <col min="5" max="5" width="27.85546875" customWidth="1"/>
    <col min="8" max="8" width="13.42578125" customWidth="1"/>
    <col min="13" max="13" width="5.7109375" customWidth="1"/>
    <col min="21" max="21" width="3.42578125" customWidth="1"/>
  </cols>
  <sheetData>
    <row r="1" spans="1:21" ht="23.25" x14ac:dyDescent="0.35">
      <c r="F1" s="73" t="s">
        <v>9</v>
      </c>
      <c r="G1" s="73"/>
      <c r="H1" s="73"/>
      <c r="I1" s="73"/>
      <c r="J1" s="73"/>
      <c r="K1" s="73"/>
      <c r="L1" s="73"/>
      <c r="N1" s="74" t="s">
        <v>14</v>
      </c>
      <c r="O1" s="74"/>
      <c r="P1" s="74"/>
      <c r="Q1" s="74"/>
      <c r="R1" s="74"/>
      <c r="S1" s="74"/>
      <c r="T1" s="74"/>
    </row>
    <row r="2" spans="1:21" ht="38.25" customHeight="1" x14ac:dyDescent="0.25">
      <c r="A2" s="13" t="s">
        <v>0</v>
      </c>
      <c r="B2" s="13" t="s">
        <v>130</v>
      </c>
      <c r="C2" s="13" t="s">
        <v>131</v>
      </c>
      <c r="D2" s="13" t="s">
        <v>6</v>
      </c>
      <c r="E2" s="13" t="s">
        <v>22</v>
      </c>
      <c r="F2" s="22" t="s">
        <v>10</v>
      </c>
      <c r="G2" s="23" t="s">
        <v>11</v>
      </c>
      <c r="H2" s="24" t="s">
        <v>12</v>
      </c>
      <c r="I2" s="22" t="s">
        <v>13</v>
      </c>
      <c r="J2" s="25" t="s">
        <v>23</v>
      </c>
      <c r="K2" s="26" t="s">
        <v>24</v>
      </c>
      <c r="L2" s="27" t="s">
        <v>25</v>
      </c>
      <c r="M2" s="14"/>
      <c r="N2" s="22" t="s">
        <v>15</v>
      </c>
      <c r="O2" s="23" t="s">
        <v>16</v>
      </c>
      <c r="P2" s="24" t="s">
        <v>17</v>
      </c>
      <c r="Q2" s="22" t="s">
        <v>18</v>
      </c>
      <c r="R2" s="25" t="s">
        <v>19</v>
      </c>
      <c r="S2" s="26" t="s">
        <v>20</v>
      </c>
      <c r="T2" s="27" t="s">
        <v>21</v>
      </c>
      <c r="U2" s="15"/>
    </row>
    <row r="3" spans="1:21" ht="23.25" customHeight="1" x14ac:dyDescent="0.35">
      <c r="A3" s="28">
        <v>1</v>
      </c>
      <c r="B3" s="29" t="s">
        <v>58</v>
      </c>
      <c r="C3" s="30" t="s">
        <v>108</v>
      </c>
      <c r="D3" s="30" t="s">
        <v>125</v>
      </c>
      <c r="E3" s="12" t="s">
        <v>125</v>
      </c>
      <c r="F3" s="16">
        <v>38</v>
      </c>
      <c r="G3" s="17">
        <v>36</v>
      </c>
      <c r="H3" s="18">
        <v>34</v>
      </c>
      <c r="I3" s="16">
        <v>40</v>
      </c>
      <c r="J3" s="19">
        <v>37</v>
      </c>
      <c r="K3" s="20">
        <v>35</v>
      </c>
      <c r="L3" s="21">
        <v>30</v>
      </c>
      <c r="N3" s="16">
        <v>8</v>
      </c>
      <c r="O3" s="17">
        <v>10</v>
      </c>
      <c r="P3" s="18">
        <v>10</v>
      </c>
      <c r="Q3" s="16">
        <v>7</v>
      </c>
      <c r="R3" s="19">
        <v>10</v>
      </c>
      <c r="S3" s="20">
        <v>8</v>
      </c>
      <c r="T3" s="21">
        <v>9</v>
      </c>
    </row>
    <row r="4" spans="1:21" ht="21" x14ac:dyDescent="0.35">
      <c r="A4" s="28">
        <v>2</v>
      </c>
      <c r="B4" s="29" t="s">
        <v>59</v>
      </c>
      <c r="C4" s="30" t="s">
        <v>109</v>
      </c>
      <c r="D4" s="30" t="s">
        <v>113</v>
      </c>
      <c r="E4" s="12" t="s">
        <v>113</v>
      </c>
      <c r="F4" s="16">
        <v>34</v>
      </c>
      <c r="G4" s="17">
        <v>31</v>
      </c>
      <c r="H4" s="18">
        <v>33</v>
      </c>
      <c r="I4" s="16">
        <v>34</v>
      </c>
      <c r="J4" s="19">
        <v>31</v>
      </c>
      <c r="K4" s="20">
        <v>36</v>
      </c>
      <c r="L4" s="21">
        <v>29</v>
      </c>
      <c r="N4" s="16">
        <v>7</v>
      </c>
      <c r="O4" s="17">
        <v>9</v>
      </c>
      <c r="P4" s="18">
        <v>7</v>
      </c>
      <c r="Q4" s="16">
        <v>8</v>
      </c>
      <c r="R4" s="19">
        <v>8</v>
      </c>
      <c r="S4" s="20">
        <v>9</v>
      </c>
      <c r="T4" s="21">
        <v>8</v>
      </c>
    </row>
    <row r="5" spans="1:21" ht="21" x14ac:dyDescent="0.35">
      <c r="A5" s="28">
        <v>3</v>
      </c>
      <c r="B5" s="29" t="s">
        <v>60</v>
      </c>
      <c r="C5" s="30" t="s">
        <v>108</v>
      </c>
      <c r="D5" s="30" t="s">
        <v>124</v>
      </c>
      <c r="E5" s="12" t="s">
        <v>124</v>
      </c>
      <c r="F5" s="16">
        <v>32</v>
      </c>
      <c r="G5" s="17">
        <v>32</v>
      </c>
      <c r="H5" s="18">
        <v>33</v>
      </c>
      <c r="I5" s="16">
        <v>39</v>
      </c>
      <c r="J5" s="19">
        <v>25</v>
      </c>
      <c r="K5" s="20">
        <v>37</v>
      </c>
      <c r="L5" s="21">
        <v>25</v>
      </c>
      <c r="N5" s="16">
        <v>8</v>
      </c>
      <c r="O5" s="17">
        <v>7</v>
      </c>
      <c r="P5" s="18">
        <v>8</v>
      </c>
      <c r="Q5" s="16">
        <v>10</v>
      </c>
      <c r="R5" s="19">
        <v>8</v>
      </c>
      <c r="S5" s="20">
        <v>7</v>
      </c>
      <c r="T5" s="21">
        <v>10</v>
      </c>
    </row>
    <row r="6" spans="1:21" ht="21" x14ac:dyDescent="0.35">
      <c r="A6" s="28">
        <v>4</v>
      </c>
      <c r="B6" s="29" t="s">
        <v>61</v>
      </c>
      <c r="C6" s="30" t="s">
        <v>110</v>
      </c>
      <c r="D6" s="30" t="s">
        <v>113</v>
      </c>
      <c r="E6" s="12" t="s">
        <v>113</v>
      </c>
      <c r="F6" s="16">
        <v>28</v>
      </c>
      <c r="G6" s="17">
        <v>31</v>
      </c>
      <c r="H6" s="18">
        <v>37</v>
      </c>
      <c r="I6" s="16">
        <v>28</v>
      </c>
      <c r="J6" s="19">
        <v>27</v>
      </c>
      <c r="K6" s="20">
        <v>38</v>
      </c>
      <c r="L6" s="21">
        <v>25</v>
      </c>
      <c r="N6" s="16">
        <v>9</v>
      </c>
      <c r="O6" s="17">
        <v>7</v>
      </c>
      <c r="P6" s="18">
        <v>8</v>
      </c>
      <c r="Q6" s="16">
        <v>10</v>
      </c>
      <c r="R6" s="19">
        <v>7</v>
      </c>
      <c r="S6" s="20">
        <v>9</v>
      </c>
      <c r="T6" s="21">
        <v>8</v>
      </c>
    </row>
    <row r="7" spans="1:21" ht="33" customHeight="1" x14ac:dyDescent="0.35">
      <c r="A7" s="28">
        <v>5</v>
      </c>
      <c r="B7" s="29" t="s">
        <v>62</v>
      </c>
      <c r="C7" s="30" t="s">
        <v>111</v>
      </c>
      <c r="D7" s="30" t="s">
        <v>114</v>
      </c>
      <c r="E7" s="12" t="s">
        <v>114</v>
      </c>
      <c r="F7" s="16">
        <v>26</v>
      </c>
      <c r="G7" s="17">
        <v>26</v>
      </c>
      <c r="H7" s="18">
        <v>37</v>
      </c>
      <c r="I7" s="16">
        <v>31</v>
      </c>
      <c r="J7" s="19">
        <v>27</v>
      </c>
      <c r="K7" s="20">
        <v>39</v>
      </c>
      <c r="L7" s="21">
        <v>27</v>
      </c>
      <c r="N7" s="16">
        <v>7</v>
      </c>
      <c r="O7" s="17">
        <v>8</v>
      </c>
      <c r="P7" s="18">
        <v>10</v>
      </c>
      <c r="Q7" s="16">
        <v>7</v>
      </c>
      <c r="R7" s="19">
        <v>9</v>
      </c>
      <c r="S7" s="20">
        <v>10</v>
      </c>
      <c r="T7" s="21">
        <v>10</v>
      </c>
    </row>
    <row r="8" spans="1:21" ht="21" x14ac:dyDescent="0.35">
      <c r="A8" s="28">
        <v>6</v>
      </c>
      <c r="B8" s="29" t="s">
        <v>63</v>
      </c>
      <c r="C8" s="30" t="s">
        <v>112</v>
      </c>
      <c r="D8" s="30" t="s">
        <v>113</v>
      </c>
      <c r="E8" s="12" t="s">
        <v>113</v>
      </c>
      <c r="F8" s="16">
        <v>32</v>
      </c>
      <c r="G8" s="17">
        <v>32</v>
      </c>
      <c r="H8" s="18">
        <v>26</v>
      </c>
      <c r="I8" s="16">
        <v>34</v>
      </c>
      <c r="J8" s="19">
        <v>26</v>
      </c>
      <c r="K8" s="20">
        <v>40</v>
      </c>
      <c r="L8" s="21">
        <v>25</v>
      </c>
      <c r="N8" s="16">
        <v>8</v>
      </c>
      <c r="O8" s="17">
        <v>9</v>
      </c>
      <c r="P8" s="18">
        <v>8</v>
      </c>
      <c r="Q8" s="16">
        <v>7</v>
      </c>
      <c r="R8" s="19">
        <v>9</v>
      </c>
      <c r="S8" s="20">
        <v>10</v>
      </c>
      <c r="T8" s="21">
        <v>10</v>
      </c>
    </row>
    <row r="9" spans="1:21" ht="21" x14ac:dyDescent="0.35">
      <c r="A9" s="28">
        <v>7</v>
      </c>
      <c r="B9" s="29" t="s">
        <v>64</v>
      </c>
      <c r="C9" s="30" t="s">
        <v>113</v>
      </c>
      <c r="D9" s="30" t="s">
        <v>126</v>
      </c>
      <c r="E9" s="12" t="s">
        <v>126</v>
      </c>
      <c r="F9" s="16">
        <v>37</v>
      </c>
      <c r="G9" s="17">
        <v>38</v>
      </c>
      <c r="H9" s="18">
        <v>39</v>
      </c>
      <c r="I9" s="16">
        <v>36</v>
      </c>
      <c r="J9" s="19">
        <v>40</v>
      </c>
      <c r="K9" s="20">
        <v>41</v>
      </c>
      <c r="L9" s="21">
        <v>33</v>
      </c>
      <c r="N9" s="16">
        <v>9</v>
      </c>
      <c r="O9" s="17">
        <v>7</v>
      </c>
      <c r="P9" s="18">
        <v>7</v>
      </c>
      <c r="Q9" s="16">
        <v>9</v>
      </c>
      <c r="R9" s="19">
        <v>8</v>
      </c>
      <c r="S9" s="20">
        <v>9</v>
      </c>
      <c r="T9" s="21">
        <v>9</v>
      </c>
    </row>
    <row r="10" spans="1:21" ht="21" x14ac:dyDescent="0.35">
      <c r="A10" s="28">
        <v>8</v>
      </c>
      <c r="B10" s="29" t="s">
        <v>65</v>
      </c>
      <c r="C10" s="30" t="s">
        <v>114</v>
      </c>
      <c r="D10" s="30" t="s">
        <v>112</v>
      </c>
      <c r="E10" s="12" t="s">
        <v>112</v>
      </c>
      <c r="F10" s="16">
        <v>26</v>
      </c>
      <c r="G10" s="17">
        <v>33</v>
      </c>
      <c r="H10" s="18">
        <v>39</v>
      </c>
      <c r="I10" s="16">
        <v>33</v>
      </c>
      <c r="J10" s="19">
        <v>25</v>
      </c>
      <c r="K10" s="20">
        <v>42</v>
      </c>
      <c r="L10" s="21">
        <v>26</v>
      </c>
      <c r="N10" s="16">
        <v>10</v>
      </c>
      <c r="O10" s="17">
        <v>10</v>
      </c>
      <c r="P10" s="18">
        <v>10</v>
      </c>
      <c r="Q10" s="16">
        <v>9</v>
      </c>
      <c r="R10" s="19">
        <v>7</v>
      </c>
      <c r="S10" s="20">
        <v>9</v>
      </c>
      <c r="T10" s="21">
        <v>8</v>
      </c>
    </row>
    <row r="11" spans="1:21" ht="21" x14ac:dyDescent="0.35">
      <c r="A11" s="28">
        <v>9</v>
      </c>
      <c r="B11" s="29" t="s">
        <v>66</v>
      </c>
      <c r="C11" s="30" t="s">
        <v>112</v>
      </c>
      <c r="D11" s="30" t="s">
        <v>119</v>
      </c>
      <c r="E11" s="12" t="s">
        <v>119</v>
      </c>
      <c r="F11" s="16">
        <v>28</v>
      </c>
      <c r="G11" s="17">
        <v>28</v>
      </c>
      <c r="H11" s="18">
        <v>31</v>
      </c>
      <c r="I11" s="16">
        <v>27</v>
      </c>
      <c r="J11" s="19">
        <v>28</v>
      </c>
      <c r="K11" s="20">
        <v>43</v>
      </c>
      <c r="L11" s="21">
        <v>40</v>
      </c>
      <c r="N11" s="16">
        <v>10</v>
      </c>
      <c r="O11" s="17">
        <v>7</v>
      </c>
      <c r="P11" s="18">
        <v>8</v>
      </c>
      <c r="Q11" s="16">
        <v>9</v>
      </c>
      <c r="R11" s="19">
        <v>10</v>
      </c>
      <c r="S11" s="20">
        <v>9</v>
      </c>
      <c r="T11" s="21">
        <v>7</v>
      </c>
    </row>
    <row r="12" spans="1:21" ht="21" x14ac:dyDescent="0.35">
      <c r="A12" s="28">
        <v>10</v>
      </c>
      <c r="B12" s="29" t="s">
        <v>67</v>
      </c>
      <c r="C12" s="30" t="s">
        <v>115</v>
      </c>
      <c r="D12" s="30" t="s">
        <v>132</v>
      </c>
      <c r="E12" s="12" t="s">
        <v>132</v>
      </c>
      <c r="F12" s="16">
        <v>29</v>
      </c>
      <c r="G12" s="17">
        <v>29</v>
      </c>
      <c r="H12" s="18">
        <v>29</v>
      </c>
      <c r="I12" s="16">
        <v>38</v>
      </c>
      <c r="J12" s="19">
        <v>26</v>
      </c>
      <c r="K12" s="20">
        <v>44</v>
      </c>
      <c r="L12" s="21">
        <v>30</v>
      </c>
      <c r="N12" s="16">
        <v>9</v>
      </c>
      <c r="O12" s="17">
        <v>8</v>
      </c>
      <c r="P12" s="18">
        <v>9</v>
      </c>
      <c r="Q12" s="16">
        <v>10</v>
      </c>
      <c r="R12" s="19">
        <v>9</v>
      </c>
      <c r="S12" s="20">
        <v>7</v>
      </c>
      <c r="T12" s="21">
        <v>8</v>
      </c>
    </row>
    <row r="13" spans="1:21" ht="21" x14ac:dyDescent="0.35">
      <c r="A13" s="28">
        <v>11</v>
      </c>
      <c r="B13" s="29" t="s">
        <v>68</v>
      </c>
      <c r="C13" s="30" t="s">
        <v>116</v>
      </c>
      <c r="D13" s="30" t="s">
        <v>118</v>
      </c>
      <c r="E13" s="12" t="s">
        <v>118</v>
      </c>
      <c r="F13" s="16">
        <v>29</v>
      </c>
      <c r="G13" s="17">
        <v>38</v>
      </c>
      <c r="H13" s="18">
        <v>39</v>
      </c>
      <c r="I13" s="16">
        <v>25</v>
      </c>
      <c r="J13" s="19">
        <v>31</v>
      </c>
      <c r="K13" s="20">
        <v>45</v>
      </c>
      <c r="L13" s="21">
        <v>29</v>
      </c>
      <c r="N13" s="16">
        <v>8</v>
      </c>
      <c r="O13" s="17">
        <v>8</v>
      </c>
      <c r="P13" s="18">
        <v>7</v>
      </c>
      <c r="Q13" s="16">
        <v>9</v>
      </c>
      <c r="R13" s="19">
        <v>8</v>
      </c>
      <c r="S13" s="20">
        <v>10</v>
      </c>
      <c r="T13" s="21">
        <v>7</v>
      </c>
    </row>
    <row r="14" spans="1:21" ht="21" x14ac:dyDescent="0.35">
      <c r="A14" s="28">
        <v>12</v>
      </c>
      <c r="B14" s="29" t="s">
        <v>69</v>
      </c>
      <c r="C14" s="30" t="s">
        <v>108</v>
      </c>
      <c r="D14" s="30" t="s">
        <v>123</v>
      </c>
      <c r="E14" s="12" t="s">
        <v>123</v>
      </c>
      <c r="F14" s="16">
        <v>33</v>
      </c>
      <c r="G14" s="17">
        <v>36</v>
      </c>
      <c r="H14" s="18">
        <v>26</v>
      </c>
      <c r="I14" s="16">
        <v>40</v>
      </c>
      <c r="J14" s="19">
        <v>26</v>
      </c>
      <c r="K14" s="20">
        <v>46</v>
      </c>
      <c r="L14" s="21">
        <v>40</v>
      </c>
      <c r="N14" s="16">
        <v>9</v>
      </c>
      <c r="O14" s="17">
        <v>10</v>
      </c>
      <c r="P14" s="18">
        <v>10</v>
      </c>
      <c r="Q14" s="16">
        <v>7</v>
      </c>
      <c r="R14" s="19">
        <v>9</v>
      </c>
      <c r="S14" s="20">
        <v>8</v>
      </c>
      <c r="T14" s="21">
        <v>10</v>
      </c>
    </row>
    <row r="15" spans="1:21" ht="21" x14ac:dyDescent="0.35">
      <c r="A15" s="28">
        <v>13</v>
      </c>
      <c r="B15" s="29" t="s">
        <v>70</v>
      </c>
      <c r="C15" s="30" t="s">
        <v>117</v>
      </c>
      <c r="D15" s="30" t="s">
        <v>113</v>
      </c>
      <c r="E15" s="12" t="s">
        <v>113</v>
      </c>
      <c r="F15" s="16">
        <v>27</v>
      </c>
      <c r="G15" s="17">
        <v>25</v>
      </c>
      <c r="H15" s="18">
        <v>38</v>
      </c>
      <c r="I15" s="16">
        <v>32</v>
      </c>
      <c r="J15" s="19">
        <v>37</v>
      </c>
      <c r="K15" s="20">
        <v>47</v>
      </c>
      <c r="L15" s="21">
        <v>30</v>
      </c>
      <c r="N15" s="16">
        <v>7</v>
      </c>
      <c r="O15" s="17">
        <v>9</v>
      </c>
      <c r="P15" s="18">
        <v>9</v>
      </c>
      <c r="Q15" s="16">
        <v>7</v>
      </c>
      <c r="R15" s="19">
        <v>7</v>
      </c>
      <c r="S15" s="20">
        <v>8</v>
      </c>
      <c r="T15" s="21">
        <v>10</v>
      </c>
    </row>
    <row r="16" spans="1:21" ht="21" x14ac:dyDescent="0.35">
      <c r="A16" s="28">
        <v>14</v>
      </c>
      <c r="B16" s="29" t="s">
        <v>71</v>
      </c>
      <c r="C16" s="30" t="s">
        <v>118</v>
      </c>
      <c r="D16" s="30" t="s">
        <v>121</v>
      </c>
      <c r="E16" s="12" t="s">
        <v>121</v>
      </c>
      <c r="F16" s="16">
        <v>40</v>
      </c>
      <c r="G16" s="17">
        <v>29</v>
      </c>
      <c r="H16" s="18">
        <v>38</v>
      </c>
      <c r="I16" s="16">
        <v>31</v>
      </c>
      <c r="J16" s="19">
        <v>28</v>
      </c>
      <c r="K16" s="20">
        <v>48</v>
      </c>
      <c r="L16" s="21">
        <v>33</v>
      </c>
      <c r="N16" s="16">
        <v>10</v>
      </c>
      <c r="O16" s="17">
        <v>9</v>
      </c>
      <c r="P16" s="18">
        <v>9</v>
      </c>
      <c r="Q16" s="16">
        <v>7</v>
      </c>
      <c r="R16" s="19">
        <v>9</v>
      </c>
      <c r="S16" s="20">
        <v>7</v>
      </c>
      <c r="T16" s="21">
        <v>7</v>
      </c>
    </row>
    <row r="17" spans="1:20" ht="21" x14ac:dyDescent="0.35">
      <c r="A17" s="28">
        <v>15</v>
      </c>
      <c r="B17" s="29" t="s">
        <v>72</v>
      </c>
      <c r="C17" s="30" t="s">
        <v>119</v>
      </c>
      <c r="D17" s="30" t="s">
        <v>121</v>
      </c>
      <c r="E17" s="12" t="s">
        <v>121</v>
      </c>
      <c r="F17" s="16">
        <v>33</v>
      </c>
      <c r="G17" s="17">
        <v>37</v>
      </c>
      <c r="H17" s="18">
        <v>27</v>
      </c>
      <c r="I17" s="16">
        <v>37</v>
      </c>
      <c r="J17" s="19">
        <v>36</v>
      </c>
      <c r="K17" s="20">
        <v>49</v>
      </c>
      <c r="L17" s="21">
        <v>32</v>
      </c>
      <c r="N17" s="16">
        <v>8</v>
      </c>
      <c r="O17" s="17">
        <v>9</v>
      </c>
      <c r="P17" s="18">
        <v>8</v>
      </c>
      <c r="Q17" s="16">
        <v>9</v>
      </c>
      <c r="R17" s="19">
        <v>8</v>
      </c>
      <c r="S17" s="20">
        <v>7</v>
      </c>
      <c r="T17" s="21">
        <v>9</v>
      </c>
    </row>
    <row r="18" spans="1:20" ht="21" x14ac:dyDescent="0.35">
      <c r="A18" s="28">
        <v>16</v>
      </c>
      <c r="B18" s="29" t="s">
        <v>73</v>
      </c>
      <c r="C18" s="30" t="s">
        <v>120</v>
      </c>
      <c r="D18" s="30" t="s">
        <v>114</v>
      </c>
      <c r="E18" s="12" t="s">
        <v>114</v>
      </c>
      <c r="F18" s="16">
        <v>30</v>
      </c>
      <c r="G18" s="17">
        <v>38</v>
      </c>
      <c r="H18" s="18">
        <v>25</v>
      </c>
      <c r="I18" s="16">
        <v>36</v>
      </c>
      <c r="J18" s="19">
        <v>37</v>
      </c>
      <c r="K18" s="20">
        <v>50</v>
      </c>
      <c r="L18" s="21">
        <v>26</v>
      </c>
      <c r="N18" s="16">
        <v>7</v>
      </c>
      <c r="O18" s="17">
        <v>8</v>
      </c>
      <c r="P18" s="18">
        <v>10</v>
      </c>
      <c r="Q18" s="16">
        <v>7</v>
      </c>
      <c r="R18" s="19">
        <v>8</v>
      </c>
      <c r="S18" s="20">
        <v>10</v>
      </c>
      <c r="T18" s="21">
        <v>10</v>
      </c>
    </row>
    <row r="19" spans="1:20" ht="21" x14ac:dyDescent="0.35">
      <c r="A19" s="28">
        <v>17</v>
      </c>
      <c r="B19" s="29" t="s">
        <v>74</v>
      </c>
      <c r="C19" s="30" t="s">
        <v>117</v>
      </c>
      <c r="D19" s="30" t="s">
        <v>126</v>
      </c>
      <c r="E19" s="12" t="s">
        <v>126</v>
      </c>
      <c r="F19" s="16">
        <v>36</v>
      </c>
      <c r="G19" s="17">
        <v>30</v>
      </c>
      <c r="H19" s="18">
        <v>40</v>
      </c>
      <c r="I19" s="16">
        <v>32</v>
      </c>
      <c r="J19" s="19">
        <v>36</v>
      </c>
      <c r="K19" s="20">
        <v>51</v>
      </c>
      <c r="L19" s="21">
        <v>38</v>
      </c>
      <c r="N19" s="16">
        <v>10</v>
      </c>
      <c r="O19" s="17">
        <v>8</v>
      </c>
      <c r="P19" s="18">
        <v>9</v>
      </c>
      <c r="Q19" s="16">
        <v>9</v>
      </c>
      <c r="R19" s="19">
        <v>9</v>
      </c>
      <c r="S19" s="20">
        <v>8</v>
      </c>
      <c r="T19" s="21">
        <v>7</v>
      </c>
    </row>
    <row r="20" spans="1:20" ht="21" x14ac:dyDescent="0.35">
      <c r="A20" s="28">
        <v>18</v>
      </c>
      <c r="B20" s="29" t="s">
        <v>75</v>
      </c>
      <c r="C20" s="30" t="s">
        <v>116</v>
      </c>
      <c r="D20" s="30" t="s">
        <v>117</v>
      </c>
      <c r="E20" s="12" t="s">
        <v>117</v>
      </c>
      <c r="F20" s="16">
        <v>27</v>
      </c>
      <c r="G20" s="17">
        <v>27</v>
      </c>
      <c r="H20" s="18">
        <v>25</v>
      </c>
      <c r="I20" s="16">
        <v>39</v>
      </c>
      <c r="J20" s="19">
        <v>28</v>
      </c>
      <c r="K20" s="20">
        <v>52</v>
      </c>
      <c r="L20" s="21">
        <v>29</v>
      </c>
      <c r="N20" s="16">
        <v>7</v>
      </c>
      <c r="O20" s="17">
        <v>10</v>
      </c>
      <c r="P20" s="18">
        <v>10</v>
      </c>
      <c r="Q20" s="16">
        <v>7</v>
      </c>
      <c r="R20" s="19">
        <v>7</v>
      </c>
      <c r="S20" s="20">
        <v>9</v>
      </c>
      <c r="T20" s="21">
        <v>9</v>
      </c>
    </row>
    <row r="21" spans="1:20" ht="21" x14ac:dyDescent="0.35">
      <c r="A21" s="28">
        <v>19</v>
      </c>
      <c r="B21" s="29" t="s">
        <v>76</v>
      </c>
      <c r="C21" s="30" t="s">
        <v>121</v>
      </c>
      <c r="D21" s="30" t="s">
        <v>120</v>
      </c>
      <c r="E21" s="12" t="s">
        <v>120</v>
      </c>
      <c r="F21" s="16">
        <v>37</v>
      </c>
      <c r="G21" s="17">
        <v>30</v>
      </c>
      <c r="H21" s="18">
        <v>27</v>
      </c>
      <c r="I21" s="16">
        <v>28</v>
      </c>
      <c r="J21" s="19">
        <v>25</v>
      </c>
      <c r="K21" s="20">
        <v>53</v>
      </c>
      <c r="L21" s="21">
        <v>37</v>
      </c>
      <c r="N21" s="16">
        <v>8</v>
      </c>
      <c r="O21" s="17">
        <v>7</v>
      </c>
      <c r="P21" s="18">
        <v>8</v>
      </c>
      <c r="Q21" s="16">
        <v>10</v>
      </c>
      <c r="R21" s="19">
        <v>8</v>
      </c>
      <c r="S21" s="20">
        <v>10</v>
      </c>
      <c r="T21" s="21">
        <v>8</v>
      </c>
    </row>
    <row r="22" spans="1:20" ht="21" x14ac:dyDescent="0.35">
      <c r="A22" s="28">
        <v>20</v>
      </c>
      <c r="B22" s="29" t="s">
        <v>77</v>
      </c>
      <c r="C22" s="30" t="s">
        <v>122</v>
      </c>
      <c r="D22" s="30" t="s">
        <v>122</v>
      </c>
      <c r="E22" s="12" t="s">
        <v>122</v>
      </c>
      <c r="F22" s="16">
        <v>27</v>
      </c>
      <c r="G22" s="17">
        <v>33</v>
      </c>
      <c r="H22" s="18">
        <v>34</v>
      </c>
      <c r="I22" s="16">
        <v>31</v>
      </c>
      <c r="J22" s="19">
        <v>40</v>
      </c>
      <c r="K22" s="20">
        <v>54</v>
      </c>
      <c r="L22" s="21">
        <v>40</v>
      </c>
      <c r="N22" s="16">
        <v>10</v>
      </c>
      <c r="O22" s="17">
        <v>10</v>
      </c>
      <c r="P22" s="18">
        <v>8</v>
      </c>
      <c r="Q22" s="16">
        <v>7</v>
      </c>
      <c r="R22" s="19">
        <v>7</v>
      </c>
      <c r="S22" s="20">
        <v>8</v>
      </c>
      <c r="T22" s="21">
        <v>10</v>
      </c>
    </row>
    <row r="23" spans="1:20" ht="21" x14ac:dyDescent="0.35">
      <c r="A23" s="28">
        <v>21</v>
      </c>
      <c r="B23" s="29" t="s">
        <v>78</v>
      </c>
      <c r="C23" s="30" t="s">
        <v>132</v>
      </c>
      <c r="D23" s="30" t="s">
        <v>125</v>
      </c>
      <c r="E23" s="12" t="s">
        <v>125</v>
      </c>
      <c r="F23" s="16">
        <v>35</v>
      </c>
      <c r="G23" s="17">
        <v>26</v>
      </c>
      <c r="H23" s="18">
        <v>34</v>
      </c>
      <c r="I23" s="16">
        <v>25</v>
      </c>
      <c r="J23" s="19">
        <v>36</v>
      </c>
      <c r="K23" s="20">
        <v>55</v>
      </c>
      <c r="L23" s="21">
        <v>25</v>
      </c>
      <c r="N23" s="16">
        <v>9</v>
      </c>
      <c r="O23" s="17">
        <v>9</v>
      </c>
      <c r="P23" s="18">
        <v>10</v>
      </c>
      <c r="Q23" s="16">
        <v>10</v>
      </c>
      <c r="R23" s="19">
        <v>7</v>
      </c>
      <c r="S23" s="20">
        <v>10</v>
      </c>
      <c r="T23" s="21">
        <v>10</v>
      </c>
    </row>
    <row r="24" spans="1:20" ht="21" x14ac:dyDescent="0.35">
      <c r="A24" s="28">
        <v>22</v>
      </c>
      <c r="B24" s="29" t="s">
        <v>79</v>
      </c>
      <c r="C24" s="30" t="s">
        <v>123</v>
      </c>
      <c r="D24" s="30" t="s">
        <v>118</v>
      </c>
      <c r="E24" s="12" t="s">
        <v>118</v>
      </c>
      <c r="F24" s="16">
        <v>38</v>
      </c>
      <c r="G24" s="17">
        <v>39</v>
      </c>
      <c r="H24" s="18">
        <v>38</v>
      </c>
      <c r="I24" s="16">
        <v>38</v>
      </c>
      <c r="J24" s="19">
        <v>27</v>
      </c>
      <c r="K24" s="20">
        <v>56</v>
      </c>
      <c r="L24" s="21">
        <v>30</v>
      </c>
      <c r="N24" s="16">
        <v>8</v>
      </c>
      <c r="O24" s="17">
        <v>8</v>
      </c>
      <c r="P24" s="18">
        <v>8</v>
      </c>
      <c r="Q24" s="16">
        <v>9</v>
      </c>
      <c r="R24" s="19">
        <v>10</v>
      </c>
      <c r="S24" s="20">
        <v>10</v>
      </c>
      <c r="T24" s="21">
        <v>7</v>
      </c>
    </row>
    <row r="25" spans="1:20" ht="21" x14ac:dyDescent="0.35">
      <c r="A25" s="28">
        <v>23</v>
      </c>
      <c r="B25" s="29" t="s">
        <v>80</v>
      </c>
      <c r="C25" s="30" t="s">
        <v>124</v>
      </c>
      <c r="D25" s="30" t="s">
        <v>118</v>
      </c>
      <c r="E25" s="12" t="s">
        <v>118</v>
      </c>
      <c r="F25" s="16">
        <v>36</v>
      </c>
      <c r="G25" s="17">
        <v>39</v>
      </c>
      <c r="H25" s="18">
        <v>40</v>
      </c>
      <c r="I25" s="16">
        <v>37</v>
      </c>
      <c r="J25" s="19">
        <v>25</v>
      </c>
      <c r="K25" s="20">
        <v>57</v>
      </c>
      <c r="L25" s="21">
        <v>39</v>
      </c>
      <c r="N25" s="16">
        <v>10</v>
      </c>
      <c r="O25" s="17">
        <v>9</v>
      </c>
      <c r="P25" s="18">
        <v>10</v>
      </c>
      <c r="Q25" s="16">
        <v>10</v>
      </c>
      <c r="R25" s="19">
        <v>8</v>
      </c>
      <c r="S25" s="20">
        <v>9</v>
      </c>
      <c r="T25" s="21">
        <v>10</v>
      </c>
    </row>
    <row r="26" spans="1:20" ht="21" x14ac:dyDescent="0.35">
      <c r="A26" s="28">
        <v>24</v>
      </c>
      <c r="B26" s="29" t="s">
        <v>81</v>
      </c>
      <c r="C26" s="30" t="s">
        <v>116</v>
      </c>
      <c r="D26" s="30" t="s">
        <v>114</v>
      </c>
      <c r="E26" s="12" t="s">
        <v>114</v>
      </c>
      <c r="F26" s="16">
        <v>36</v>
      </c>
      <c r="G26" s="17">
        <v>33</v>
      </c>
      <c r="H26" s="18">
        <v>29</v>
      </c>
      <c r="I26" s="16">
        <v>40</v>
      </c>
      <c r="J26" s="19">
        <v>30</v>
      </c>
      <c r="K26" s="20">
        <v>58</v>
      </c>
      <c r="L26" s="21">
        <v>25</v>
      </c>
      <c r="N26" s="16">
        <v>10</v>
      </c>
      <c r="O26" s="17">
        <v>9</v>
      </c>
      <c r="P26" s="18">
        <v>8</v>
      </c>
      <c r="Q26" s="16">
        <v>10</v>
      </c>
      <c r="R26" s="19">
        <v>7</v>
      </c>
      <c r="S26" s="20">
        <v>8</v>
      </c>
      <c r="T26" s="21">
        <v>10</v>
      </c>
    </row>
    <row r="27" spans="1:20" ht="21" x14ac:dyDescent="0.35">
      <c r="A27" s="28">
        <v>25</v>
      </c>
      <c r="B27" s="29" t="s">
        <v>82</v>
      </c>
      <c r="C27" s="30" t="s">
        <v>116</v>
      </c>
      <c r="D27" s="30" t="s">
        <v>109</v>
      </c>
      <c r="E27" s="12" t="s">
        <v>109</v>
      </c>
      <c r="F27" s="16">
        <v>36</v>
      </c>
      <c r="G27" s="17">
        <v>37</v>
      </c>
      <c r="H27" s="18">
        <v>36</v>
      </c>
      <c r="I27" s="16">
        <v>25</v>
      </c>
      <c r="J27" s="19">
        <v>28</v>
      </c>
      <c r="K27" s="20">
        <v>59</v>
      </c>
      <c r="L27" s="21">
        <v>35</v>
      </c>
      <c r="N27" s="16">
        <v>7</v>
      </c>
      <c r="O27" s="17">
        <v>10</v>
      </c>
      <c r="P27" s="18">
        <v>9</v>
      </c>
      <c r="Q27" s="16">
        <v>9</v>
      </c>
      <c r="R27" s="19">
        <v>8</v>
      </c>
      <c r="S27" s="20">
        <v>9</v>
      </c>
      <c r="T27" s="21">
        <v>8</v>
      </c>
    </row>
    <row r="28" spans="1:20" ht="21" x14ac:dyDescent="0.35">
      <c r="A28" s="28">
        <v>26</v>
      </c>
      <c r="B28" s="29" t="s">
        <v>83</v>
      </c>
      <c r="C28" s="30" t="s">
        <v>116</v>
      </c>
      <c r="D28" s="30" t="s">
        <v>110</v>
      </c>
      <c r="E28" s="12" t="s">
        <v>110</v>
      </c>
      <c r="F28" s="16">
        <v>34</v>
      </c>
      <c r="G28" s="17">
        <v>34</v>
      </c>
      <c r="H28" s="18">
        <v>29</v>
      </c>
      <c r="I28" s="16">
        <v>38</v>
      </c>
      <c r="J28" s="19">
        <v>28</v>
      </c>
      <c r="K28" s="20">
        <v>60</v>
      </c>
      <c r="L28" s="21">
        <v>32</v>
      </c>
      <c r="N28" s="16">
        <v>8</v>
      </c>
      <c r="O28" s="17">
        <v>8</v>
      </c>
      <c r="P28" s="18">
        <v>7</v>
      </c>
      <c r="Q28" s="16">
        <v>9</v>
      </c>
      <c r="R28" s="19">
        <v>9</v>
      </c>
      <c r="S28" s="20">
        <v>10</v>
      </c>
      <c r="T28" s="21">
        <v>7</v>
      </c>
    </row>
    <row r="29" spans="1:20" ht="21" x14ac:dyDescent="0.35">
      <c r="A29" s="28">
        <v>27</v>
      </c>
      <c r="B29" s="29" t="s">
        <v>84</v>
      </c>
      <c r="C29" s="30" t="s">
        <v>116</v>
      </c>
      <c r="D29" s="30" t="s">
        <v>111</v>
      </c>
      <c r="E29" s="12" t="s">
        <v>111</v>
      </c>
      <c r="F29" s="16">
        <v>28</v>
      </c>
      <c r="G29" s="17">
        <v>28</v>
      </c>
      <c r="H29" s="18">
        <v>25</v>
      </c>
      <c r="I29" s="16">
        <v>26</v>
      </c>
      <c r="J29" s="19">
        <v>25</v>
      </c>
      <c r="K29" s="20">
        <v>61</v>
      </c>
      <c r="L29" s="21">
        <v>37</v>
      </c>
      <c r="N29" s="16">
        <v>10</v>
      </c>
      <c r="O29" s="17">
        <v>9</v>
      </c>
      <c r="P29" s="18">
        <v>8</v>
      </c>
      <c r="Q29" s="16">
        <v>9</v>
      </c>
      <c r="R29" s="19">
        <v>10</v>
      </c>
      <c r="S29" s="20">
        <v>8</v>
      </c>
      <c r="T29" s="21">
        <v>7</v>
      </c>
    </row>
    <row r="30" spans="1:20" ht="21" x14ac:dyDescent="0.35">
      <c r="A30" s="28">
        <v>28</v>
      </c>
      <c r="B30" s="29" t="s">
        <v>85</v>
      </c>
      <c r="C30" s="30" t="s">
        <v>120</v>
      </c>
      <c r="D30" s="30" t="s">
        <v>113</v>
      </c>
      <c r="E30" s="12" t="s">
        <v>113</v>
      </c>
      <c r="F30" s="16">
        <v>31</v>
      </c>
      <c r="G30" s="17">
        <v>29</v>
      </c>
      <c r="H30" s="18">
        <v>36</v>
      </c>
      <c r="I30" s="16">
        <v>39</v>
      </c>
      <c r="J30" s="19">
        <v>28</v>
      </c>
      <c r="K30" s="20">
        <v>62</v>
      </c>
      <c r="L30" s="21">
        <v>26</v>
      </c>
      <c r="N30" s="16">
        <v>8</v>
      </c>
      <c r="O30" s="17">
        <v>7</v>
      </c>
      <c r="P30" s="18">
        <v>8</v>
      </c>
      <c r="Q30" s="16">
        <v>7</v>
      </c>
      <c r="R30" s="19">
        <v>8</v>
      </c>
      <c r="S30" s="20">
        <v>9</v>
      </c>
      <c r="T30" s="21">
        <v>9</v>
      </c>
    </row>
    <row r="31" spans="1:20" ht="21" x14ac:dyDescent="0.35">
      <c r="A31" s="28">
        <v>29</v>
      </c>
      <c r="B31" s="29" t="s">
        <v>86</v>
      </c>
      <c r="C31" s="30" t="s">
        <v>123</v>
      </c>
      <c r="D31" s="30" t="s">
        <v>132</v>
      </c>
      <c r="E31" s="12" t="s">
        <v>132</v>
      </c>
      <c r="F31" s="16">
        <v>26</v>
      </c>
      <c r="G31" s="17">
        <v>34</v>
      </c>
      <c r="H31" s="18">
        <v>36</v>
      </c>
      <c r="I31" s="16">
        <v>39</v>
      </c>
      <c r="J31" s="19">
        <v>32</v>
      </c>
      <c r="K31" s="20">
        <v>63</v>
      </c>
      <c r="L31" s="21">
        <v>37</v>
      </c>
      <c r="N31" s="16">
        <v>9</v>
      </c>
      <c r="O31" s="17">
        <v>7</v>
      </c>
      <c r="P31" s="18">
        <v>10</v>
      </c>
      <c r="Q31" s="16">
        <v>9</v>
      </c>
      <c r="R31" s="19">
        <v>8</v>
      </c>
      <c r="S31" s="20">
        <v>8</v>
      </c>
      <c r="T31" s="21">
        <v>10</v>
      </c>
    </row>
    <row r="32" spans="1:20" ht="21" x14ac:dyDescent="0.35">
      <c r="A32" s="28">
        <v>30</v>
      </c>
      <c r="B32" s="29" t="s">
        <v>87</v>
      </c>
      <c r="C32" s="30" t="s">
        <v>132</v>
      </c>
      <c r="D32" s="30" t="s">
        <v>113</v>
      </c>
      <c r="E32" s="12" t="s">
        <v>113</v>
      </c>
      <c r="F32" s="16">
        <v>32</v>
      </c>
      <c r="G32" s="17">
        <v>32</v>
      </c>
      <c r="H32" s="18">
        <v>27</v>
      </c>
      <c r="I32" s="16">
        <v>34</v>
      </c>
      <c r="J32" s="19">
        <v>25</v>
      </c>
      <c r="K32" s="20">
        <v>64</v>
      </c>
      <c r="L32" s="21">
        <v>26</v>
      </c>
      <c r="N32" s="16">
        <v>7</v>
      </c>
      <c r="O32" s="17">
        <v>9</v>
      </c>
      <c r="P32" s="18">
        <v>9</v>
      </c>
      <c r="Q32" s="16">
        <v>10</v>
      </c>
      <c r="R32" s="19">
        <v>10</v>
      </c>
      <c r="S32" s="20">
        <v>9</v>
      </c>
      <c r="T32" s="21">
        <v>10</v>
      </c>
    </row>
    <row r="33" spans="1:20" ht="21" x14ac:dyDescent="0.35">
      <c r="A33" s="28">
        <v>31</v>
      </c>
      <c r="B33" s="29" t="s">
        <v>88</v>
      </c>
      <c r="C33" s="30" t="s">
        <v>125</v>
      </c>
      <c r="D33" s="30" t="s">
        <v>108</v>
      </c>
      <c r="E33" s="12" t="s">
        <v>108</v>
      </c>
      <c r="F33" s="16">
        <v>39</v>
      </c>
      <c r="G33" s="17">
        <v>40</v>
      </c>
      <c r="H33" s="18">
        <v>36</v>
      </c>
      <c r="I33" s="16">
        <v>39</v>
      </c>
      <c r="J33" s="19">
        <v>29</v>
      </c>
      <c r="K33" s="20">
        <v>65</v>
      </c>
      <c r="L33" s="21">
        <v>36</v>
      </c>
      <c r="N33" s="16">
        <v>7</v>
      </c>
      <c r="O33" s="17">
        <v>8</v>
      </c>
      <c r="P33" s="18">
        <v>7</v>
      </c>
      <c r="Q33" s="16">
        <v>8</v>
      </c>
      <c r="R33" s="19">
        <v>10</v>
      </c>
      <c r="S33" s="20">
        <v>10</v>
      </c>
      <c r="T33" s="21">
        <v>8</v>
      </c>
    </row>
    <row r="34" spans="1:20" ht="21" x14ac:dyDescent="0.35">
      <c r="A34" s="28">
        <v>32</v>
      </c>
      <c r="B34" s="29" t="s">
        <v>89</v>
      </c>
      <c r="C34" s="30" t="s">
        <v>114</v>
      </c>
      <c r="D34" s="30" t="s">
        <v>109</v>
      </c>
      <c r="E34" s="12" t="s">
        <v>109</v>
      </c>
      <c r="F34" s="16">
        <v>33</v>
      </c>
      <c r="G34" s="17">
        <v>31</v>
      </c>
      <c r="H34" s="18">
        <v>34</v>
      </c>
      <c r="I34" s="16">
        <v>27</v>
      </c>
      <c r="J34" s="19">
        <v>40</v>
      </c>
      <c r="K34" s="20">
        <v>66</v>
      </c>
      <c r="L34" s="21">
        <v>25</v>
      </c>
      <c r="N34" s="16">
        <v>8</v>
      </c>
      <c r="O34" s="17">
        <v>9</v>
      </c>
      <c r="P34" s="18">
        <v>8</v>
      </c>
      <c r="Q34" s="16">
        <v>8</v>
      </c>
      <c r="R34" s="19">
        <v>8</v>
      </c>
      <c r="S34" s="20">
        <v>7</v>
      </c>
      <c r="T34" s="21">
        <v>7</v>
      </c>
    </row>
    <row r="35" spans="1:20" ht="21" x14ac:dyDescent="0.35">
      <c r="A35" s="28">
        <v>33</v>
      </c>
      <c r="B35" s="29" t="s">
        <v>90</v>
      </c>
      <c r="C35" s="30" t="s">
        <v>121</v>
      </c>
      <c r="D35" s="30" t="s">
        <v>108</v>
      </c>
      <c r="E35" s="12" t="s">
        <v>108</v>
      </c>
      <c r="F35" s="16">
        <v>40</v>
      </c>
      <c r="G35" s="17">
        <v>31</v>
      </c>
      <c r="H35" s="18">
        <v>35</v>
      </c>
      <c r="I35" s="16">
        <v>25</v>
      </c>
      <c r="J35" s="19">
        <v>27</v>
      </c>
      <c r="K35" s="20">
        <v>67</v>
      </c>
      <c r="L35" s="21">
        <v>31</v>
      </c>
      <c r="N35" s="16">
        <v>10</v>
      </c>
      <c r="O35" s="17">
        <v>7</v>
      </c>
      <c r="P35" s="18">
        <v>10</v>
      </c>
      <c r="Q35" s="16">
        <v>8</v>
      </c>
      <c r="R35" s="19">
        <v>8</v>
      </c>
      <c r="S35" s="20">
        <v>8</v>
      </c>
      <c r="T35" s="21">
        <v>7</v>
      </c>
    </row>
    <row r="36" spans="1:20" ht="21" x14ac:dyDescent="0.35">
      <c r="A36" s="28">
        <v>34</v>
      </c>
      <c r="B36" s="29" t="s">
        <v>91</v>
      </c>
      <c r="C36" s="30" t="s">
        <v>117</v>
      </c>
      <c r="D36" s="30" t="s">
        <v>110</v>
      </c>
      <c r="E36" s="12" t="s">
        <v>110</v>
      </c>
      <c r="F36" s="16">
        <v>25</v>
      </c>
      <c r="G36" s="17">
        <v>29</v>
      </c>
      <c r="H36" s="18">
        <v>29</v>
      </c>
      <c r="I36" s="16">
        <v>40</v>
      </c>
      <c r="J36" s="19">
        <v>33</v>
      </c>
      <c r="K36" s="20">
        <v>68</v>
      </c>
      <c r="L36" s="21">
        <v>35</v>
      </c>
      <c r="N36" s="16">
        <v>9</v>
      </c>
      <c r="O36" s="17">
        <v>10</v>
      </c>
      <c r="P36" s="18">
        <v>10</v>
      </c>
      <c r="Q36" s="16">
        <v>9</v>
      </c>
      <c r="R36" s="19">
        <v>8</v>
      </c>
      <c r="S36" s="20">
        <v>9</v>
      </c>
      <c r="T36" s="21">
        <v>8</v>
      </c>
    </row>
    <row r="37" spans="1:20" ht="21" x14ac:dyDescent="0.35">
      <c r="A37" s="28">
        <v>35</v>
      </c>
      <c r="B37" s="29" t="s">
        <v>92</v>
      </c>
      <c r="C37" s="30" t="s">
        <v>124</v>
      </c>
      <c r="D37" s="30" t="s">
        <v>111</v>
      </c>
      <c r="E37" s="12" t="s">
        <v>111</v>
      </c>
      <c r="F37" s="16">
        <v>37</v>
      </c>
      <c r="G37" s="17">
        <v>26</v>
      </c>
      <c r="H37" s="18">
        <v>38</v>
      </c>
      <c r="I37" s="16">
        <v>31</v>
      </c>
      <c r="J37" s="19">
        <v>40</v>
      </c>
      <c r="K37" s="20">
        <v>69</v>
      </c>
      <c r="L37" s="21">
        <v>27</v>
      </c>
      <c r="N37" s="16">
        <v>9</v>
      </c>
      <c r="O37" s="17">
        <v>8</v>
      </c>
      <c r="P37" s="18">
        <v>7</v>
      </c>
      <c r="Q37" s="16">
        <v>9</v>
      </c>
      <c r="R37" s="19">
        <v>8</v>
      </c>
      <c r="S37" s="20">
        <v>7</v>
      </c>
      <c r="T37" s="21">
        <v>8</v>
      </c>
    </row>
    <row r="38" spans="1:20" ht="21" x14ac:dyDescent="0.35">
      <c r="A38" s="28">
        <v>36</v>
      </c>
      <c r="B38" s="29" t="s">
        <v>93</v>
      </c>
      <c r="C38" s="30" t="s">
        <v>120</v>
      </c>
      <c r="D38" s="30" t="s">
        <v>112</v>
      </c>
      <c r="E38" s="12" t="s">
        <v>112</v>
      </c>
      <c r="F38" s="16">
        <v>36</v>
      </c>
      <c r="G38" s="17">
        <v>26</v>
      </c>
      <c r="H38" s="18">
        <v>32</v>
      </c>
      <c r="I38" s="16">
        <v>34</v>
      </c>
      <c r="J38" s="19">
        <v>35</v>
      </c>
      <c r="K38" s="20">
        <v>70</v>
      </c>
      <c r="L38" s="21">
        <v>31</v>
      </c>
      <c r="N38" s="16">
        <v>10</v>
      </c>
      <c r="O38" s="17">
        <v>7</v>
      </c>
      <c r="P38" s="18">
        <v>7</v>
      </c>
      <c r="Q38" s="16">
        <v>9</v>
      </c>
      <c r="R38" s="19">
        <v>8</v>
      </c>
      <c r="S38" s="20">
        <v>7</v>
      </c>
      <c r="T38" s="21">
        <v>10</v>
      </c>
    </row>
    <row r="39" spans="1:20" ht="21" x14ac:dyDescent="0.35">
      <c r="A39" s="28">
        <v>37</v>
      </c>
      <c r="B39" s="29" t="s">
        <v>94</v>
      </c>
      <c r="C39" s="30" t="s">
        <v>117</v>
      </c>
      <c r="D39" s="30" t="s">
        <v>113</v>
      </c>
      <c r="E39" s="12" t="s">
        <v>113</v>
      </c>
      <c r="F39" s="16">
        <v>25</v>
      </c>
      <c r="G39" s="17">
        <v>39</v>
      </c>
      <c r="H39" s="18">
        <v>40</v>
      </c>
      <c r="I39" s="16">
        <v>34</v>
      </c>
      <c r="J39" s="19">
        <v>29</v>
      </c>
      <c r="K39" s="20">
        <v>71</v>
      </c>
      <c r="L39" s="21">
        <v>28</v>
      </c>
      <c r="N39" s="16">
        <v>8</v>
      </c>
      <c r="O39" s="17">
        <v>8</v>
      </c>
      <c r="P39" s="18">
        <v>7</v>
      </c>
      <c r="Q39" s="16">
        <v>9</v>
      </c>
      <c r="R39" s="19">
        <v>10</v>
      </c>
      <c r="S39" s="20">
        <v>8</v>
      </c>
      <c r="T39" s="21">
        <v>9</v>
      </c>
    </row>
    <row r="40" spans="1:20" ht="21" x14ac:dyDescent="0.35">
      <c r="A40" s="28">
        <v>38</v>
      </c>
      <c r="B40" s="29" t="s">
        <v>95</v>
      </c>
      <c r="C40" s="30" t="s">
        <v>132</v>
      </c>
      <c r="D40" s="30" t="s">
        <v>114</v>
      </c>
      <c r="E40" s="12" t="s">
        <v>114</v>
      </c>
      <c r="F40" s="16">
        <v>28</v>
      </c>
      <c r="G40" s="17">
        <v>26</v>
      </c>
      <c r="H40" s="18">
        <v>31</v>
      </c>
      <c r="I40" s="16">
        <v>35</v>
      </c>
      <c r="J40" s="19">
        <v>31</v>
      </c>
      <c r="K40" s="20">
        <v>72</v>
      </c>
      <c r="L40" s="21">
        <v>31</v>
      </c>
      <c r="N40" s="16">
        <v>9</v>
      </c>
      <c r="O40" s="17">
        <v>10</v>
      </c>
      <c r="P40" s="18">
        <v>9</v>
      </c>
      <c r="Q40" s="16">
        <v>7</v>
      </c>
      <c r="R40" s="19">
        <v>7</v>
      </c>
      <c r="S40" s="20">
        <v>9</v>
      </c>
      <c r="T40" s="21">
        <v>7</v>
      </c>
    </row>
    <row r="41" spans="1:20" ht="21" x14ac:dyDescent="0.35">
      <c r="A41" s="28">
        <v>39</v>
      </c>
      <c r="B41" s="29" t="s">
        <v>96</v>
      </c>
      <c r="C41" s="30" t="s">
        <v>117</v>
      </c>
      <c r="D41" s="30" t="s">
        <v>112</v>
      </c>
      <c r="E41" s="12" t="s">
        <v>112</v>
      </c>
      <c r="F41" s="16">
        <v>33</v>
      </c>
      <c r="G41" s="17">
        <v>38</v>
      </c>
      <c r="H41" s="18">
        <v>40</v>
      </c>
      <c r="I41" s="16">
        <v>26</v>
      </c>
      <c r="J41" s="19">
        <v>31</v>
      </c>
      <c r="K41" s="20">
        <v>73</v>
      </c>
      <c r="L41" s="21">
        <v>27</v>
      </c>
      <c r="N41" s="16">
        <v>9</v>
      </c>
      <c r="O41" s="17">
        <v>7</v>
      </c>
      <c r="P41" s="18">
        <v>9</v>
      </c>
      <c r="Q41" s="16">
        <v>9</v>
      </c>
      <c r="R41" s="19">
        <v>8</v>
      </c>
      <c r="S41" s="20">
        <v>8</v>
      </c>
      <c r="T41" s="21">
        <v>9</v>
      </c>
    </row>
    <row r="42" spans="1:20" ht="21" x14ac:dyDescent="0.35">
      <c r="A42" s="28">
        <v>40</v>
      </c>
      <c r="B42" s="29" t="s">
        <v>97</v>
      </c>
      <c r="C42" s="30" t="s">
        <v>118</v>
      </c>
      <c r="D42" s="30" t="s">
        <v>115</v>
      </c>
      <c r="E42" s="12" t="s">
        <v>115</v>
      </c>
      <c r="F42" s="16">
        <v>39</v>
      </c>
      <c r="G42" s="17">
        <v>32</v>
      </c>
      <c r="H42" s="18">
        <v>40</v>
      </c>
      <c r="I42" s="16">
        <v>31</v>
      </c>
      <c r="J42" s="19">
        <v>25</v>
      </c>
      <c r="K42" s="20">
        <v>74</v>
      </c>
      <c r="L42" s="21">
        <v>38</v>
      </c>
      <c r="N42" s="16">
        <v>7</v>
      </c>
      <c r="O42" s="17">
        <v>8</v>
      </c>
      <c r="P42" s="18">
        <v>7</v>
      </c>
      <c r="Q42" s="16">
        <v>8</v>
      </c>
      <c r="R42" s="19">
        <v>8</v>
      </c>
      <c r="S42" s="20">
        <v>8</v>
      </c>
      <c r="T42" s="21">
        <v>9</v>
      </c>
    </row>
    <row r="43" spans="1:20" ht="21" x14ac:dyDescent="0.35">
      <c r="A43" s="28">
        <v>41</v>
      </c>
      <c r="B43" s="29" t="s">
        <v>98</v>
      </c>
      <c r="C43" s="30" t="s">
        <v>120</v>
      </c>
      <c r="D43" s="30" t="s">
        <v>116</v>
      </c>
      <c r="E43" s="12" t="s">
        <v>116</v>
      </c>
      <c r="F43" s="16">
        <v>35</v>
      </c>
      <c r="G43" s="17">
        <v>29</v>
      </c>
      <c r="H43" s="18">
        <v>36</v>
      </c>
      <c r="I43" s="16">
        <v>34</v>
      </c>
      <c r="J43" s="19">
        <v>29</v>
      </c>
      <c r="K43" s="20">
        <v>75</v>
      </c>
      <c r="L43" s="21">
        <v>37</v>
      </c>
      <c r="N43" s="16">
        <v>8</v>
      </c>
      <c r="O43" s="17">
        <v>10</v>
      </c>
      <c r="P43" s="18">
        <v>7</v>
      </c>
      <c r="Q43" s="16">
        <v>8</v>
      </c>
      <c r="R43" s="19">
        <v>8</v>
      </c>
      <c r="S43" s="20">
        <v>7</v>
      </c>
      <c r="T43" s="21">
        <v>9</v>
      </c>
    </row>
    <row r="44" spans="1:20" ht="21" x14ac:dyDescent="0.35">
      <c r="A44" s="28">
        <v>42</v>
      </c>
      <c r="B44" s="29" t="s">
        <v>99</v>
      </c>
      <c r="C44" s="30" t="s">
        <v>115</v>
      </c>
      <c r="D44" s="30" t="s">
        <v>108</v>
      </c>
      <c r="E44" s="12" t="s">
        <v>108</v>
      </c>
      <c r="F44" s="16">
        <v>28</v>
      </c>
      <c r="G44" s="17">
        <v>36</v>
      </c>
      <c r="H44" s="18">
        <v>39</v>
      </c>
      <c r="I44" s="16">
        <v>40</v>
      </c>
      <c r="J44" s="19">
        <v>30</v>
      </c>
      <c r="K44" s="20">
        <v>76</v>
      </c>
      <c r="L44" s="21">
        <v>30</v>
      </c>
      <c r="N44" s="16">
        <v>7</v>
      </c>
      <c r="O44" s="17">
        <v>7</v>
      </c>
      <c r="P44" s="18">
        <v>9</v>
      </c>
      <c r="Q44" s="16">
        <v>8</v>
      </c>
      <c r="R44" s="19">
        <v>7</v>
      </c>
      <c r="S44" s="20">
        <v>8</v>
      </c>
      <c r="T44" s="21">
        <v>10</v>
      </c>
    </row>
    <row r="45" spans="1:20" ht="21" x14ac:dyDescent="0.35">
      <c r="A45" s="28">
        <v>43</v>
      </c>
      <c r="B45" s="29" t="s">
        <v>100</v>
      </c>
      <c r="C45" s="30" t="s">
        <v>132</v>
      </c>
      <c r="D45" s="30" t="s">
        <v>117</v>
      </c>
      <c r="E45" s="12" t="s">
        <v>117</v>
      </c>
      <c r="F45" s="16">
        <v>38</v>
      </c>
      <c r="G45" s="17">
        <v>36</v>
      </c>
      <c r="H45" s="18">
        <v>28</v>
      </c>
      <c r="I45" s="16">
        <v>36</v>
      </c>
      <c r="J45" s="19">
        <v>26</v>
      </c>
      <c r="K45" s="20">
        <v>77</v>
      </c>
      <c r="L45" s="21">
        <v>25</v>
      </c>
      <c r="N45" s="16">
        <v>10</v>
      </c>
      <c r="O45" s="17">
        <v>9</v>
      </c>
      <c r="P45" s="18">
        <v>9</v>
      </c>
      <c r="Q45" s="16">
        <v>10</v>
      </c>
      <c r="R45" s="19">
        <v>9</v>
      </c>
      <c r="S45" s="20">
        <v>9</v>
      </c>
      <c r="T45" s="21">
        <v>8</v>
      </c>
    </row>
    <row r="46" spans="1:20" ht="21" x14ac:dyDescent="0.35">
      <c r="A46" s="28">
        <v>44</v>
      </c>
      <c r="B46" s="29" t="s">
        <v>101</v>
      </c>
      <c r="C46" s="30" t="s">
        <v>122</v>
      </c>
      <c r="D46" s="30" t="s">
        <v>118</v>
      </c>
      <c r="E46" s="12" t="s">
        <v>118</v>
      </c>
      <c r="F46" s="16">
        <v>29</v>
      </c>
      <c r="G46" s="17">
        <v>26</v>
      </c>
      <c r="H46" s="18">
        <v>27</v>
      </c>
      <c r="I46" s="16">
        <v>33</v>
      </c>
      <c r="J46" s="19">
        <v>40</v>
      </c>
      <c r="K46" s="20">
        <v>78</v>
      </c>
      <c r="L46" s="21">
        <v>40</v>
      </c>
      <c r="N46" s="16">
        <v>8</v>
      </c>
      <c r="O46" s="17">
        <v>9</v>
      </c>
      <c r="P46" s="18">
        <v>7</v>
      </c>
      <c r="Q46" s="16">
        <v>9</v>
      </c>
      <c r="R46" s="19">
        <v>9</v>
      </c>
      <c r="S46" s="20">
        <v>8</v>
      </c>
      <c r="T46" s="21">
        <v>8</v>
      </c>
    </row>
    <row r="47" spans="1:20" ht="21" x14ac:dyDescent="0.35">
      <c r="A47" s="28">
        <v>45</v>
      </c>
      <c r="B47" s="29" t="s">
        <v>102</v>
      </c>
      <c r="C47" s="30" t="s">
        <v>110</v>
      </c>
      <c r="D47" s="30" t="s">
        <v>119</v>
      </c>
      <c r="E47" s="12" t="s">
        <v>119</v>
      </c>
      <c r="F47" s="16">
        <v>40</v>
      </c>
      <c r="G47" s="17">
        <v>38</v>
      </c>
      <c r="H47" s="18">
        <v>27</v>
      </c>
      <c r="I47" s="16">
        <v>29</v>
      </c>
      <c r="J47" s="19">
        <v>33</v>
      </c>
      <c r="K47" s="20">
        <v>79</v>
      </c>
      <c r="L47" s="21">
        <v>28</v>
      </c>
      <c r="N47" s="16">
        <v>10</v>
      </c>
      <c r="O47" s="17">
        <v>10</v>
      </c>
      <c r="P47" s="18">
        <v>9</v>
      </c>
      <c r="Q47" s="16">
        <v>8</v>
      </c>
      <c r="R47" s="19">
        <v>10</v>
      </c>
      <c r="S47" s="20">
        <v>8</v>
      </c>
      <c r="T47" s="21">
        <v>10</v>
      </c>
    </row>
    <row r="48" spans="1:20" ht="21" x14ac:dyDescent="0.35">
      <c r="A48" s="28">
        <v>46</v>
      </c>
      <c r="B48" s="29" t="s">
        <v>103</v>
      </c>
      <c r="C48" s="30" t="s">
        <v>108</v>
      </c>
      <c r="D48" s="30" t="s">
        <v>120</v>
      </c>
      <c r="E48" s="12" t="s">
        <v>120</v>
      </c>
      <c r="F48" s="16">
        <v>27</v>
      </c>
      <c r="G48" s="17">
        <v>31</v>
      </c>
      <c r="H48" s="18">
        <v>38</v>
      </c>
      <c r="I48" s="16">
        <v>34</v>
      </c>
      <c r="J48" s="19">
        <v>39</v>
      </c>
      <c r="K48" s="20">
        <v>80</v>
      </c>
      <c r="L48" s="21">
        <v>26</v>
      </c>
      <c r="N48" s="16">
        <v>8</v>
      </c>
      <c r="O48" s="17">
        <v>8</v>
      </c>
      <c r="P48" s="18">
        <v>8</v>
      </c>
      <c r="Q48" s="16">
        <v>10</v>
      </c>
      <c r="R48" s="19">
        <v>8</v>
      </c>
      <c r="S48" s="20">
        <v>7</v>
      </c>
      <c r="T48" s="21">
        <v>7</v>
      </c>
    </row>
    <row r="49" spans="1:20" ht="21" x14ac:dyDescent="0.35">
      <c r="A49" s="28">
        <v>47</v>
      </c>
      <c r="B49" s="29" t="s">
        <v>104</v>
      </c>
      <c r="C49" s="30" t="s">
        <v>123</v>
      </c>
      <c r="D49" s="30" t="s">
        <v>117</v>
      </c>
      <c r="E49" s="12" t="s">
        <v>117</v>
      </c>
      <c r="F49" s="16">
        <v>39</v>
      </c>
      <c r="G49" s="17">
        <v>31</v>
      </c>
      <c r="H49" s="18">
        <v>36</v>
      </c>
      <c r="I49" s="16">
        <v>34</v>
      </c>
      <c r="J49" s="19">
        <v>28</v>
      </c>
      <c r="K49" s="20">
        <v>81</v>
      </c>
      <c r="L49" s="21">
        <v>36</v>
      </c>
      <c r="N49" s="16">
        <v>8</v>
      </c>
      <c r="O49" s="17">
        <v>10</v>
      </c>
      <c r="P49" s="18">
        <v>10</v>
      </c>
      <c r="Q49" s="16">
        <v>9</v>
      </c>
      <c r="R49" s="19">
        <v>8</v>
      </c>
      <c r="S49" s="20">
        <v>8</v>
      </c>
      <c r="T49" s="21">
        <v>10</v>
      </c>
    </row>
    <row r="50" spans="1:20" ht="21" x14ac:dyDescent="0.35">
      <c r="A50" s="28">
        <v>48</v>
      </c>
      <c r="B50" s="29" t="s">
        <v>105</v>
      </c>
      <c r="C50" s="30" t="s">
        <v>108</v>
      </c>
      <c r="D50" s="30" t="s">
        <v>116</v>
      </c>
      <c r="E50" s="12" t="s">
        <v>116</v>
      </c>
      <c r="F50" s="16">
        <v>25</v>
      </c>
      <c r="G50" s="17">
        <v>34</v>
      </c>
      <c r="H50" s="18">
        <v>34</v>
      </c>
      <c r="I50" s="16">
        <v>37</v>
      </c>
      <c r="J50" s="19">
        <v>38</v>
      </c>
      <c r="K50" s="20">
        <v>82</v>
      </c>
      <c r="L50" s="21">
        <v>25</v>
      </c>
      <c r="N50" s="16">
        <v>10</v>
      </c>
      <c r="O50" s="17">
        <v>10</v>
      </c>
      <c r="P50" s="18">
        <v>8</v>
      </c>
      <c r="Q50" s="16">
        <v>9</v>
      </c>
      <c r="R50" s="19">
        <v>10</v>
      </c>
      <c r="S50" s="20">
        <v>9</v>
      </c>
      <c r="T50" s="21">
        <v>10</v>
      </c>
    </row>
    <row r="51" spans="1:20" ht="21" x14ac:dyDescent="0.35">
      <c r="A51" s="28">
        <v>49</v>
      </c>
      <c r="B51" s="29" t="s">
        <v>106</v>
      </c>
      <c r="C51" s="30" t="s">
        <v>124</v>
      </c>
      <c r="D51" s="30" t="s">
        <v>121</v>
      </c>
      <c r="E51" s="12" t="s">
        <v>121</v>
      </c>
      <c r="F51" s="16">
        <v>37</v>
      </c>
      <c r="G51" s="17">
        <v>32</v>
      </c>
      <c r="H51" s="18">
        <v>33</v>
      </c>
      <c r="I51" s="16">
        <v>28</v>
      </c>
      <c r="J51" s="19">
        <v>36</v>
      </c>
      <c r="K51" s="20">
        <v>83</v>
      </c>
      <c r="L51" s="21">
        <v>34</v>
      </c>
      <c r="N51" s="16">
        <v>7</v>
      </c>
      <c r="O51" s="17">
        <v>7</v>
      </c>
      <c r="P51" s="18">
        <v>10</v>
      </c>
      <c r="Q51" s="16">
        <v>7</v>
      </c>
      <c r="R51" s="19">
        <v>10</v>
      </c>
      <c r="S51" s="20">
        <v>10</v>
      </c>
      <c r="T51" s="21">
        <v>7</v>
      </c>
    </row>
    <row r="52" spans="1:20" ht="21" x14ac:dyDescent="0.35">
      <c r="A52" s="28">
        <v>50</v>
      </c>
      <c r="B52" s="29" t="s">
        <v>107</v>
      </c>
      <c r="C52" s="30" t="s">
        <v>124</v>
      </c>
      <c r="D52" s="30" t="s">
        <v>122</v>
      </c>
      <c r="E52" s="12" t="s">
        <v>122</v>
      </c>
      <c r="F52" s="16">
        <v>36</v>
      </c>
      <c r="G52" s="17">
        <v>27</v>
      </c>
      <c r="H52" s="18">
        <v>30</v>
      </c>
      <c r="I52" s="16">
        <v>34</v>
      </c>
      <c r="J52" s="19">
        <v>30</v>
      </c>
      <c r="K52" s="20">
        <v>84</v>
      </c>
      <c r="L52" s="21">
        <v>39</v>
      </c>
      <c r="N52" s="16">
        <v>10</v>
      </c>
      <c r="O52" s="17">
        <v>7</v>
      </c>
      <c r="P52" s="18">
        <v>10</v>
      </c>
      <c r="Q52" s="16">
        <v>7</v>
      </c>
      <c r="R52" s="19">
        <v>7</v>
      </c>
      <c r="S52" s="20">
        <v>8</v>
      </c>
      <c r="T52" s="21">
        <v>7</v>
      </c>
    </row>
  </sheetData>
  <mergeCells count="2">
    <mergeCell ref="F1:L1"/>
    <mergeCell ref="N1:T1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232EF-4C2C-4926-BF00-F0869010F439}">
  <sheetPr codeName="Sheet5">
    <tabColor rgb="FF00B050"/>
  </sheetPr>
  <dimension ref="A1:U52"/>
  <sheetViews>
    <sheetView zoomScale="90" zoomScaleNormal="9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E8" sqref="E8"/>
    </sheetView>
  </sheetViews>
  <sheetFormatPr defaultRowHeight="15" x14ac:dyDescent="0.25"/>
  <cols>
    <col min="1" max="1" width="7.140625" customWidth="1"/>
    <col min="2" max="2" width="16.140625" customWidth="1"/>
    <col min="3" max="3" width="25.42578125" customWidth="1"/>
    <col min="4" max="4" width="25.85546875" customWidth="1"/>
    <col min="5" max="5" width="27.85546875" customWidth="1"/>
    <col min="8" max="8" width="13.42578125" customWidth="1"/>
    <col min="13" max="13" width="5.7109375" customWidth="1"/>
    <col min="21" max="21" width="3.42578125" customWidth="1"/>
  </cols>
  <sheetData>
    <row r="1" spans="1:21" ht="23.25" x14ac:dyDescent="0.35">
      <c r="F1" s="73" t="s">
        <v>9</v>
      </c>
      <c r="G1" s="73"/>
      <c r="H1" s="73"/>
      <c r="I1" s="73"/>
      <c r="J1" s="73"/>
      <c r="K1" s="73"/>
      <c r="L1" s="73"/>
      <c r="N1" s="74" t="s">
        <v>14</v>
      </c>
      <c r="O1" s="74"/>
      <c r="P1" s="74"/>
      <c r="Q1" s="74"/>
      <c r="R1" s="74"/>
      <c r="S1" s="74"/>
      <c r="T1" s="74"/>
    </row>
    <row r="2" spans="1:21" ht="38.25" customHeight="1" x14ac:dyDescent="0.25">
      <c r="A2" s="13" t="s">
        <v>0</v>
      </c>
      <c r="B2" s="13" t="s">
        <v>130</v>
      </c>
      <c r="C2" s="13" t="s">
        <v>131</v>
      </c>
      <c r="D2" s="13" t="s">
        <v>6</v>
      </c>
      <c r="E2" s="13" t="s">
        <v>22</v>
      </c>
      <c r="F2" s="22" t="s">
        <v>141</v>
      </c>
      <c r="G2" s="23" t="s">
        <v>142</v>
      </c>
      <c r="H2" s="24" t="s">
        <v>143</v>
      </c>
      <c r="I2" s="22" t="s">
        <v>144</v>
      </c>
      <c r="J2" s="25" t="s">
        <v>145</v>
      </c>
      <c r="K2" s="26" t="s">
        <v>146</v>
      </c>
      <c r="L2" s="27" t="s">
        <v>147</v>
      </c>
      <c r="M2" s="14"/>
      <c r="N2" s="22" t="s">
        <v>15</v>
      </c>
      <c r="O2" s="23" t="s">
        <v>16</v>
      </c>
      <c r="P2" s="24" t="s">
        <v>17</v>
      </c>
      <c r="Q2" s="22" t="s">
        <v>18</v>
      </c>
      <c r="R2" s="25" t="s">
        <v>19</v>
      </c>
      <c r="S2" s="26" t="s">
        <v>20</v>
      </c>
      <c r="T2" s="27" t="s">
        <v>21</v>
      </c>
      <c r="U2" s="15"/>
    </row>
    <row r="3" spans="1:21" ht="23.25" customHeight="1" x14ac:dyDescent="0.35">
      <c r="A3" s="28">
        <v>1</v>
      </c>
      <c r="B3" s="29" t="s">
        <v>58</v>
      </c>
      <c r="C3" s="30" t="s">
        <v>108</v>
      </c>
      <c r="D3" s="30" t="s">
        <v>125</v>
      </c>
      <c r="E3" s="12" t="s">
        <v>125</v>
      </c>
      <c r="F3" s="16">
        <v>66</v>
      </c>
      <c r="G3" s="17">
        <v>94</v>
      </c>
      <c r="H3" s="18">
        <v>74</v>
      </c>
      <c r="I3" s="16">
        <v>53</v>
      </c>
      <c r="J3" s="19">
        <v>68</v>
      </c>
      <c r="K3" s="20">
        <v>64</v>
      </c>
      <c r="L3" s="21">
        <v>54</v>
      </c>
      <c r="N3" s="16">
        <v>8</v>
      </c>
      <c r="O3" s="17">
        <v>8</v>
      </c>
      <c r="P3" s="18">
        <v>9</v>
      </c>
      <c r="Q3" s="16">
        <v>9</v>
      </c>
      <c r="R3" s="19">
        <v>7</v>
      </c>
      <c r="S3" s="20">
        <v>10</v>
      </c>
      <c r="T3" s="21">
        <v>9</v>
      </c>
    </row>
    <row r="4" spans="1:21" ht="21" x14ac:dyDescent="0.35">
      <c r="A4" s="28">
        <v>2</v>
      </c>
      <c r="B4" s="29" t="s">
        <v>59</v>
      </c>
      <c r="C4" s="30" t="s">
        <v>109</v>
      </c>
      <c r="D4" s="30" t="s">
        <v>113</v>
      </c>
      <c r="E4" s="12" t="s">
        <v>113</v>
      </c>
      <c r="F4" s="16">
        <v>75</v>
      </c>
      <c r="G4" s="17">
        <v>87</v>
      </c>
      <c r="H4" s="18">
        <v>69</v>
      </c>
      <c r="I4" s="16">
        <v>87</v>
      </c>
      <c r="J4" s="19">
        <v>81</v>
      </c>
      <c r="K4" s="20">
        <v>74</v>
      </c>
      <c r="L4" s="21">
        <v>55</v>
      </c>
      <c r="N4" s="16">
        <v>9</v>
      </c>
      <c r="O4" s="17">
        <v>9</v>
      </c>
      <c r="P4" s="18">
        <v>8</v>
      </c>
      <c r="Q4" s="16">
        <v>9</v>
      </c>
      <c r="R4" s="19">
        <v>10</v>
      </c>
      <c r="S4" s="20">
        <v>7</v>
      </c>
      <c r="T4" s="21">
        <v>10</v>
      </c>
    </row>
    <row r="5" spans="1:21" ht="21" x14ac:dyDescent="0.35">
      <c r="A5" s="28">
        <v>3</v>
      </c>
      <c r="B5" s="29" t="s">
        <v>60</v>
      </c>
      <c r="C5" s="30" t="s">
        <v>108</v>
      </c>
      <c r="D5" s="30" t="s">
        <v>124</v>
      </c>
      <c r="E5" s="12" t="s">
        <v>124</v>
      </c>
      <c r="F5" s="16">
        <v>76</v>
      </c>
      <c r="G5" s="17">
        <v>77</v>
      </c>
      <c r="H5" s="18">
        <v>96</v>
      </c>
      <c r="I5" s="16">
        <v>75</v>
      </c>
      <c r="J5" s="19">
        <v>63</v>
      </c>
      <c r="K5" s="20">
        <v>73</v>
      </c>
      <c r="L5" s="21">
        <v>50</v>
      </c>
      <c r="N5" s="16">
        <v>8</v>
      </c>
      <c r="O5" s="17">
        <v>10</v>
      </c>
      <c r="P5" s="18">
        <v>7</v>
      </c>
      <c r="Q5" s="16">
        <v>7</v>
      </c>
      <c r="R5" s="19">
        <v>8</v>
      </c>
      <c r="S5" s="20">
        <v>9</v>
      </c>
      <c r="T5" s="21">
        <v>7</v>
      </c>
    </row>
    <row r="6" spans="1:21" ht="21" x14ac:dyDescent="0.35">
      <c r="A6" s="28">
        <v>4</v>
      </c>
      <c r="B6" s="29" t="s">
        <v>61</v>
      </c>
      <c r="C6" s="30" t="s">
        <v>110</v>
      </c>
      <c r="D6" s="30" t="s">
        <v>113</v>
      </c>
      <c r="E6" s="12" t="s">
        <v>113</v>
      </c>
      <c r="F6" s="16">
        <v>79</v>
      </c>
      <c r="G6" s="17">
        <v>81</v>
      </c>
      <c r="H6" s="18">
        <v>84</v>
      </c>
      <c r="I6" s="16">
        <v>66</v>
      </c>
      <c r="J6" s="19">
        <v>67</v>
      </c>
      <c r="K6" s="20">
        <v>88</v>
      </c>
      <c r="L6" s="21">
        <v>60</v>
      </c>
      <c r="N6" s="16">
        <v>7</v>
      </c>
      <c r="O6" s="17">
        <v>9</v>
      </c>
      <c r="P6" s="18">
        <v>9</v>
      </c>
      <c r="Q6" s="16">
        <v>7</v>
      </c>
      <c r="R6" s="19">
        <v>10</v>
      </c>
      <c r="S6" s="20">
        <v>7</v>
      </c>
      <c r="T6" s="21">
        <v>9</v>
      </c>
    </row>
    <row r="7" spans="1:21" ht="33" customHeight="1" x14ac:dyDescent="0.35">
      <c r="A7" s="28">
        <v>5</v>
      </c>
      <c r="B7" s="29" t="s">
        <v>62</v>
      </c>
      <c r="C7" s="30" t="s">
        <v>111</v>
      </c>
      <c r="D7" s="30" t="s">
        <v>114</v>
      </c>
      <c r="E7" s="12" t="s">
        <v>114</v>
      </c>
      <c r="F7" s="16">
        <v>66</v>
      </c>
      <c r="G7" s="17">
        <v>93</v>
      </c>
      <c r="H7" s="18">
        <v>81</v>
      </c>
      <c r="I7" s="16">
        <v>76</v>
      </c>
      <c r="J7" s="19">
        <v>91</v>
      </c>
      <c r="K7" s="20">
        <v>70</v>
      </c>
      <c r="L7" s="21">
        <v>90</v>
      </c>
      <c r="N7" s="16">
        <v>7</v>
      </c>
      <c r="O7" s="17">
        <v>7</v>
      </c>
      <c r="P7" s="18">
        <v>10</v>
      </c>
      <c r="Q7" s="16">
        <v>8</v>
      </c>
      <c r="R7" s="19">
        <v>8</v>
      </c>
      <c r="S7" s="20">
        <v>10</v>
      </c>
      <c r="T7" s="21">
        <v>10</v>
      </c>
    </row>
    <row r="8" spans="1:21" ht="21" x14ac:dyDescent="0.35">
      <c r="A8" s="28">
        <v>6</v>
      </c>
      <c r="B8" s="29" t="s">
        <v>63</v>
      </c>
      <c r="C8" s="30" t="s">
        <v>112</v>
      </c>
      <c r="D8" s="30" t="s">
        <v>113</v>
      </c>
      <c r="E8" s="12" t="s">
        <v>113</v>
      </c>
      <c r="F8" s="16">
        <v>51</v>
      </c>
      <c r="G8" s="17">
        <v>61</v>
      </c>
      <c r="H8" s="18">
        <v>73</v>
      </c>
      <c r="I8" s="16">
        <v>85</v>
      </c>
      <c r="J8" s="19">
        <v>61</v>
      </c>
      <c r="K8" s="20">
        <v>63</v>
      </c>
      <c r="L8" s="21">
        <v>61</v>
      </c>
      <c r="N8" s="16">
        <v>9</v>
      </c>
      <c r="O8" s="17">
        <v>8</v>
      </c>
      <c r="P8" s="18">
        <v>10</v>
      </c>
      <c r="Q8" s="16">
        <v>10</v>
      </c>
      <c r="R8" s="19">
        <v>10</v>
      </c>
      <c r="S8" s="20">
        <v>7</v>
      </c>
      <c r="T8" s="21">
        <v>7</v>
      </c>
    </row>
    <row r="9" spans="1:21" ht="21" x14ac:dyDescent="0.35">
      <c r="A9" s="28">
        <v>7</v>
      </c>
      <c r="B9" s="29" t="s">
        <v>64</v>
      </c>
      <c r="C9" s="30" t="s">
        <v>113</v>
      </c>
      <c r="D9" s="30" t="s">
        <v>126</v>
      </c>
      <c r="E9" s="12" t="s">
        <v>126</v>
      </c>
      <c r="F9" s="16">
        <v>71</v>
      </c>
      <c r="G9" s="17">
        <v>86</v>
      </c>
      <c r="H9" s="18">
        <v>51</v>
      </c>
      <c r="I9" s="16">
        <v>78</v>
      </c>
      <c r="J9" s="19">
        <v>98</v>
      </c>
      <c r="K9" s="20">
        <v>61</v>
      </c>
      <c r="L9" s="21">
        <v>70</v>
      </c>
      <c r="N9" s="16">
        <v>8</v>
      </c>
      <c r="O9" s="17">
        <v>7</v>
      </c>
      <c r="P9" s="18">
        <v>8</v>
      </c>
      <c r="Q9" s="16">
        <v>9</v>
      </c>
      <c r="R9" s="19">
        <v>9</v>
      </c>
      <c r="S9" s="20">
        <v>7</v>
      </c>
      <c r="T9" s="21">
        <v>8</v>
      </c>
    </row>
    <row r="10" spans="1:21" ht="21" x14ac:dyDescent="0.35">
      <c r="A10" s="28">
        <v>8</v>
      </c>
      <c r="B10" s="29" t="s">
        <v>65</v>
      </c>
      <c r="C10" s="30" t="s">
        <v>114</v>
      </c>
      <c r="D10" s="30" t="s">
        <v>112</v>
      </c>
      <c r="E10" s="12" t="s">
        <v>112</v>
      </c>
      <c r="F10" s="16">
        <v>89</v>
      </c>
      <c r="G10" s="17">
        <v>70</v>
      </c>
      <c r="H10" s="18">
        <v>91</v>
      </c>
      <c r="I10" s="16">
        <v>67</v>
      </c>
      <c r="J10" s="19">
        <v>59</v>
      </c>
      <c r="K10" s="20">
        <v>54</v>
      </c>
      <c r="L10" s="21">
        <v>56</v>
      </c>
      <c r="N10" s="16">
        <v>10</v>
      </c>
      <c r="O10" s="17">
        <v>7</v>
      </c>
      <c r="P10" s="18">
        <v>8</v>
      </c>
      <c r="Q10" s="16">
        <v>7</v>
      </c>
      <c r="R10" s="19">
        <v>9</v>
      </c>
      <c r="S10" s="20">
        <v>9</v>
      </c>
      <c r="T10" s="21">
        <v>8</v>
      </c>
    </row>
    <row r="11" spans="1:21" ht="21" x14ac:dyDescent="0.35">
      <c r="A11" s="28">
        <v>9</v>
      </c>
      <c r="B11" s="29" t="s">
        <v>66</v>
      </c>
      <c r="C11" s="30" t="s">
        <v>112</v>
      </c>
      <c r="D11" s="30" t="s">
        <v>119</v>
      </c>
      <c r="E11" s="12" t="s">
        <v>119</v>
      </c>
      <c r="F11" s="16">
        <v>84</v>
      </c>
      <c r="G11" s="17">
        <v>68</v>
      </c>
      <c r="H11" s="18">
        <v>59</v>
      </c>
      <c r="I11" s="16">
        <v>57</v>
      </c>
      <c r="J11" s="19">
        <v>75</v>
      </c>
      <c r="K11" s="20">
        <v>94</v>
      </c>
      <c r="L11" s="21">
        <v>92</v>
      </c>
      <c r="N11" s="16">
        <v>9</v>
      </c>
      <c r="O11" s="17">
        <v>10</v>
      </c>
      <c r="P11" s="18">
        <v>7</v>
      </c>
      <c r="Q11" s="16">
        <v>8</v>
      </c>
      <c r="R11" s="19">
        <v>7</v>
      </c>
      <c r="S11" s="20">
        <v>7</v>
      </c>
      <c r="T11" s="21">
        <v>9</v>
      </c>
    </row>
    <row r="12" spans="1:21" ht="21" x14ac:dyDescent="0.35">
      <c r="A12" s="28">
        <v>10</v>
      </c>
      <c r="B12" s="29" t="s">
        <v>67</v>
      </c>
      <c r="C12" s="30" t="s">
        <v>115</v>
      </c>
      <c r="D12" s="30" t="s">
        <v>132</v>
      </c>
      <c r="E12" s="12" t="s">
        <v>132</v>
      </c>
      <c r="F12" s="16">
        <v>59</v>
      </c>
      <c r="G12" s="17">
        <v>70</v>
      </c>
      <c r="H12" s="18">
        <v>55</v>
      </c>
      <c r="I12" s="16">
        <v>52</v>
      </c>
      <c r="J12" s="19">
        <v>65</v>
      </c>
      <c r="K12" s="20">
        <v>55</v>
      </c>
      <c r="L12" s="21">
        <v>81</v>
      </c>
      <c r="N12" s="16">
        <v>10</v>
      </c>
      <c r="O12" s="17">
        <v>10</v>
      </c>
      <c r="P12" s="18">
        <v>7</v>
      </c>
      <c r="Q12" s="16">
        <v>10</v>
      </c>
      <c r="R12" s="19">
        <v>7</v>
      </c>
      <c r="S12" s="20">
        <v>8</v>
      </c>
      <c r="T12" s="21">
        <v>7</v>
      </c>
    </row>
    <row r="13" spans="1:21" ht="21" x14ac:dyDescent="0.35">
      <c r="A13" s="28">
        <v>11</v>
      </c>
      <c r="B13" s="29" t="s">
        <v>68</v>
      </c>
      <c r="C13" s="30" t="s">
        <v>116</v>
      </c>
      <c r="D13" s="30" t="s">
        <v>118</v>
      </c>
      <c r="E13" s="12" t="s">
        <v>118</v>
      </c>
      <c r="F13" s="16">
        <v>80</v>
      </c>
      <c r="G13" s="17">
        <v>80</v>
      </c>
      <c r="H13" s="18">
        <v>96</v>
      </c>
      <c r="I13" s="16">
        <v>76</v>
      </c>
      <c r="J13" s="19">
        <v>80</v>
      </c>
      <c r="K13" s="20">
        <v>86</v>
      </c>
      <c r="L13" s="21">
        <v>68</v>
      </c>
      <c r="N13" s="16">
        <v>7</v>
      </c>
      <c r="O13" s="17">
        <v>10</v>
      </c>
      <c r="P13" s="18">
        <v>7</v>
      </c>
      <c r="Q13" s="16">
        <v>7</v>
      </c>
      <c r="R13" s="19">
        <v>8</v>
      </c>
      <c r="S13" s="20">
        <v>7</v>
      </c>
      <c r="T13" s="21">
        <v>8</v>
      </c>
    </row>
    <row r="14" spans="1:21" ht="21" x14ac:dyDescent="0.35">
      <c r="A14" s="28">
        <v>12</v>
      </c>
      <c r="B14" s="29" t="s">
        <v>69</v>
      </c>
      <c r="C14" s="30" t="s">
        <v>108</v>
      </c>
      <c r="D14" s="30" t="s">
        <v>123</v>
      </c>
      <c r="E14" s="12" t="s">
        <v>123</v>
      </c>
      <c r="F14" s="16">
        <v>78</v>
      </c>
      <c r="G14" s="17">
        <v>60</v>
      </c>
      <c r="H14" s="18">
        <v>86</v>
      </c>
      <c r="I14" s="16">
        <v>59</v>
      </c>
      <c r="J14" s="19">
        <v>88</v>
      </c>
      <c r="K14" s="20">
        <v>50</v>
      </c>
      <c r="L14" s="21">
        <v>69</v>
      </c>
      <c r="N14" s="16">
        <v>9</v>
      </c>
      <c r="O14" s="17">
        <v>10</v>
      </c>
      <c r="P14" s="18">
        <v>10</v>
      </c>
      <c r="Q14" s="16">
        <v>8</v>
      </c>
      <c r="R14" s="19">
        <v>9</v>
      </c>
      <c r="S14" s="20">
        <v>7</v>
      </c>
      <c r="T14" s="21">
        <v>10</v>
      </c>
    </row>
    <row r="15" spans="1:21" ht="21" x14ac:dyDescent="0.35">
      <c r="A15" s="28">
        <v>13</v>
      </c>
      <c r="B15" s="29" t="s">
        <v>70</v>
      </c>
      <c r="C15" s="30" t="s">
        <v>117</v>
      </c>
      <c r="D15" s="30" t="s">
        <v>113</v>
      </c>
      <c r="E15" s="12" t="s">
        <v>113</v>
      </c>
      <c r="F15" s="16">
        <v>50</v>
      </c>
      <c r="G15" s="17">
        <v>63</v>
      </c>
      <c r="H15" s="18">
        <v>71</v>
      </c>
      <c r="I15" s="16">
        <v>93</v>
      </c>
      <c r="J15" s="19">
        <v>71</v>
      </c>
      <c r="K15" s="20">
        <v>50</v>
      </c>
      <c r="L15" s="21">
        <v>82</v>
      </c>
      <c r="N15" s="16">
        <v>7</v>
      </c>
      <c r="O15" s="17">
        <v>10</v>
      </c>
      <c r="P15" s="18">
        <v>7</v>
      </c>
      <c r="Q15" s="16">
        <v>7</v>
      </c>
      <c r="R15" s="19">
        <v>8</v>
      </c>
      <c r="S15" s="20">
        <v>8</v>
      </c>
      <c r="T15" s="21">
        <v>7</v>
      </c>
    </row>
    <row r="16" spans="1:21" ht="21" x14ac:dyDescent="0.35">
      <c r="A16" s="28">
        <v>14</v>
      </c>
      <c r="B16" s="29" t="s">
        <v>71</v>
      </c>
      <c r="C16" s="30" t="s">
        <v>118</v>
      </c>
      <c r="D16" s="30" t="s">
        <v>121</v>
      </c>
      <c r="E16" s="12" t="s">
        <v>121</v>
      </c>
      <c r="F16" s="16">
        <v>58</v>
      </c>
      <c r="G16" s="17">
        <v>95</v>
      </c>
      <c r="H16" s="18">
        <v>63</v>
      </c>
      <c r="I16" s="16">
        <v>56</v>
      </c>
      <c r="J16" s="19">
        <v>80</v>
      </c>
      <c r="K16" s="20">
        <v>94</v>
      </c>
      <c r="L16" s="21">
        <v>73</v>
      </c>
      <c r="N16" s="16">
        <v>9</v>
      </c>
      <c r="O16" s="17">
        <v>7</v>
      </c>
      <c r="P16" s="18">
        <v>7</v>
      </c>
      <c r="Q16" s="16">
        <v>8</v>
      </c>
      <c r="R16" s="19">
        <v>8</v>
      </c>
      <c r="S16" s="20">
        <v>7</v>
      </c>
      <c r="T16" s="21">
        <v>9</v>
      </c>
    </row>
    <row r="17" spans="1:20" ht="21" x14ac:dyDescent="0.35">
      <c r="A17" s="28">
        <v>15</v>
      </c>
      <c r="B17" s="29" t="s">
        <v>72</v>
      </c>
      <c r="C17" s="30" t="s">
        <v>119</v>
      </c>
      <c r="D17" s="30" t="s">
        <v>121</v>
      </c>
      <c r="E17" s="12" t="s">
        <v>121</v>
      </c>
      <c r="F17" s="16">
        <v>66</v>
      </c>
      <c r="G17" s="17">
        <v>61</v>
      </c>
      <c r="H17" s="18">
        <v>68</v>
      </c>
      <c r="I17" s="16">
        <v>97</v>
      </c>
      <c r="J17" s="19">
        <v>58</v>
      </c>
      <c r="K17" s="20">
        <v>93</v>
      </c>
      <c r="L17" s="21">
        <v>82</v>
      </c>
      <c r="N17" s="16">
        <v>8</v>
      </c>
      <c r="O17" s="17">
        <v>9</v>
      </c>
      <c r="P17" s="18">
        <v>10</v>
      </c>
      <c r="Q17" s="16">
        <v>7</v>
      </c>
      <c r="R17" s="19">
        <v>9</v>
      </c>
      <c r="S17" s="20">
        <v>9</v>
      </c>
      <c r="T17" s="21">
        <v>10</v>
      </c>
    </row>
    <row r="18" spans="1:20" ht="21" x14ac:dyDescent="0.35">
      <c r="A18" s="28">
        <v>16</v>
      </c>
      <c r="B18" s="29" t="s">
        <v>73</v>
      </c>
      <c r="C18" s="30" t="s">
        <v>120</v>
      </c>
      <c r="D18" s="30" t="s">
        <v>114</v>
      </c>
      <c r="E18" s="12" t="s">
        <v>114</v>
      </c>
      <c r="F18" s="16">
        <v>88</v>
      </c>
      <c r="G18" s="17">
        <v>89</v>
      </c>
      <c r="H18" s="18">
        <v>67</v>
      </c>
      <c r="I18" s="16">
        <v>57</v>
      </c>
      <c r="J18" s="19">
        <v>73</v>
      </c>
      <c r="K18" s="20">
        <v>67</v>
      </c>
      <c r="L18" s="21">
        <v>58</v>
      </c>
      <c r="N18" s="16">
        <v>10</v>
      </c>
      <c r="O18" s="17">
        <v>9</v>
      </c>
      <c r="P18" s="18">
        <v>9</v>
      </c>
      <c r="Q18" s="16">
        <v>10</v>
      </c>
      <c r="R18" s="19">
        <v>7</v>
      </c>
      <c r="S18" s="20">
        <v>8</v>
      </c>
      <c r="T18" s="21">
        <v>8</v>
      </c>
    </row>
    <row r="19" spans="1:20" ht="21" x14ac:dyDescent="0.35">
      <c r="A19" s="28">
        <v>17</v>
      </c>
      <c r="B19" s="29" t="s">
        <v>74</v>
      </c>
      <c r="C19" s="30" t="s">
        <v>117</v>
      </c>
      <c r="D19" s="30" t="s">
        <v>126</v>
      </c>
      <c r="E19" s="12" t="s">
        <v>126</v>
      </c>
      <c r="F19" s="16">
        <v>83</v>
      </c>
      <c r="G19" s="17">
        <v>68</v>
      </c>
      <c r="H19" s="18">
        <v>83</v>
      </c>
      <c r="I19" s="16">
        <v>75</v>
      </c>
      <c r="J19" s="19">
        <v>72</v>
      </c>
      <c r="K19" s="20">
        <v>61</v>
      </c>
      <c r="L19" s="21">
        <v>66</v>
      </c>
      <c r="N19" s="16">
        <v>7</v>
      </c>
      <c r="O19" s="17">
        <v>10</v>
      </c>
      <c r="P19" s="18">
        <v>9</v>
      </c>
      <c r="Q19" s="16">
        <v>7</v>
      </c>
      <c r="R19" s="19">
        <v>10</v>
      </c>
      <c r="S19" s="20">
        <v>9</v>
      </c>
      <c r="T19" s="21">
        <v>10</v>
      </c>
    </row>
    <row r="20" spans="1:20" ht="21" x14ac:dyDescent="0.35">
      <c r="A20" s="28">
        <v>18</v>
      </c>
      <c r="B20" s="29" t="s">
        <v>75</v>
      </c>
      <c r="C20" s="30" t="s">
        <v>116</v>
      </c>
      <c r="D20" s="30" t="s">
        <v>117</v>
      </c>
      <c r="E20" s="12" t="s">
        <v>117</v>
      </c>
      <c r="F20" s="16">
        <v>63</v>
      </c>
      <c r="G20" s="17">
        <v>74</v>
      </c>
      <c r="H20" s="18">
        <v>82</v>
      </c>
      <c r="I20" s="16">
        <v>90</v>
      </c>
      <c r="J20" s="19">
        <v>79</v>
      </c>
      <c r="K20" s="20">
        <v>75</v>
      </c>
      <c r="L20" s="21">
        <v>55</v>
      </c>
      <c r="N20" s="16">
        <v>9</v>
      </c>
      <c r="O20" s="17">
        <v>9</v>
      </c>
      <c r="P20" s="18">
        <v>10</v>
      </c>
      <c r="Q20" s="16">
        <v>9</v>
      </c>
      <c r="R20" s="19">
        <v>7</v>
      </c>
      <c r="S20" s="20">
        <v>10</v>
      </c>
      <c r="T20" s="21">
        <v>10</v>
      </c>
    </row>
    <row r="21" spans="1:20" ht="21" x14ac:dyDescent="0.35">
      <c r="A21" s="28">
        <v>19</v>
      </c>
      <c r="B21" s="29" t="s">
        <v>76</v>
      </c>
      <c r="C21" s="30" t="s">
        <v>121</v>
      </c>
      <c r="D21" s="30" t="s">
        <v>120</v>
      </c>
      <c r="E21" s="12" t="s">
        <v>120</v>
      </c>
      <c r="F21" s="16">
        <v>58</v>
      </c>
      <c r="G21" s="17">
        <v>60</v>
      </c>
      <c r="H21" s="18">
        <v>52</v>
      </c>
      <c r="I21" s="16">
        <v>87</v>
      </c>
      <c r="J21" s="19">
        <v>69</v>
      </c>
      <c r="K21" s="20">
        <v>96</v>
      </c>
      <c r="L21" s="21">
        <v>74</v>
      </c>
      <c r="N21" s="16">
        <v>8</v>
      </c>
      <c r="O21" s="17">
        <v>10</v>
      </c>
      <c r="P21" s="18">
        <v>9</v>
      </c>
      <c r="Q21" s="16">
        <v>10</v>
      </c>
      <c r="R21" s="19">
        <v>8</v>
      </c>
      <c r="S21" s="20">
        <v>10</v>
      </c>
      <c r="T21" s="21">
        <v>7</v>
      </c>
    </row>
    <row r="22" spans="1:20" ht="21" x14ac:dyDescent="0.35">
      <c r="A22" s="28">
        <v>20</v>
      </c>
      <c r="B22" s="29" t="s">
        <v>77</v>
      </c>
      <c r="C22" s="30" t="s">
        <v>122</v>
      </c>
      <c r="D22" s="30" t="s">
        <v>122</v>
      </c>
      <c r="E22" s="12" t="s">
        <v>122</v>
      </c>
      <c r="F22" s="16">
        <v>56</v>
      </c>
      <c r="G22" s="17">
        <v>51</v>
      </c>
      <c r="H22" s="18">
        <v>50</v>
      </c>
      <c r="I22" s="16">
        <v>65</v>
      </c>
      <c r="J22" s="19">
        <v>90</v>
      </c>
      <c r="K22" s="20">
        <v>73</v>
      </c>
      <c r="L22" s="21">
        <v>79</v>
      </c>
      <c r="N22" s="16">
        <v>9</v>
      </c>
      <c r="O22" s="17">
        <v>8</v>
      </c>
      <c r="P22" s="18">
        <v>8</v>
      </c>
      <c r="Q22" s="16">
        <v>10</v>
      </c>
      <c r="R22" s="19">
        <v>9</v>
      </c>
      <c r="S22" s="20">
        <v>8</v>
      </c>
      <c r="T22" s="21">
        <v>9</v>
      </c>
    </row>
    <row r="23" spans="1:20" ht="21" x14ac:dyDescent="0.35">
      <c r="A23" s="28">
        <v>21</v>
      </c>
      <c r="B23" s="29" t="s">
        <v>78</v>
      </c>
      <c r="C23" s="30" t="s">
        <v>132</v>
      </c>
      <c r="D23" s="30" t="s">
        <v>125</v>
      </c>
      <c r="E23" s="12" t="s">
        <v>125</v>
      </c>
      <c r="F23" s="16">
        <v>73</v>
      </c>
      <c r="G23" s="17">
        <v>80</v>
      </c>
      <c r="H23" s="18">
        <v>72</v>
      </c>
      <c r="I23" s="16">
        <v>62</v>
      </c>
      <c r="J23" s="19">
        <v>90</v>
      </c>
      <c r="K23" s="20">
        <v>52</v>
      </c>
      <c r="L23" s="21">
        <v>88</v>
      </c>
      <c r="N23" s="16">
        <v>8</v>
      </c>
      <c r="O23" s="17">
        <v>9</v>
      </c>
      <c r="P23" s="18">
        <v>10</v>
      </c>
      <c r="Q23" s="16">
        <v>9</v>
      </c>
      <c r="R23" s="19">
        <v>10</v>
      </c>
      <c r="S23" s="20">
        <v>8</v>
      </c>
      <c r="T23" s="21">
        <v>9</v>
      </c>
    </row>
    <row r="24" spans="1:20" ht="21" x14ac:dyDescent="0.35">
      <c r="A24" s="28">
        <v>22</v>
      </c>
      <c r="B24" s="29" t="s">
        <v>79</v>
      </c>
      <c r="C24" s="30" t="s">
        <v>123</v>
      </c>
      <c r="D24" s="30" t="s">
        <v>118</v>
      </c>
      <c r="E24" s="12" t="s">
        <v>118</v>
      </c>
      <c r="F24" s="16">
        <v>69</v>
      </c>
      <c r="G24" s="17">
        <v>66</v>
      </c>
      <c r="H24" s="18">
        <v>97</v>
      </c>
      <c r="I24" s="16">
        <v>63</v>
      </c>
      <c r="J24" s="19">
        <v>60</v>
      </c>
      <c r="K24" s="20">
        <v>81</v>
      </c>
      <c r="L24" s="21">
        <v>98</v>
      </c>
      <c r="N24" s="16">
        <v>9</v>
      </c>
      <c r="O24" s="17">
        <v>9</v>
      </c>
      <c r="P24" s="18">
        <v>7</v>
      </c>
      <c r="Q24" s="16">
        <v>8</v>
      </c>
      <c r="R24" s="19">
        <v>10</v>
      </c>
      <c r="S24" s="20">
        <v>9</v>
      </c>
      <c r="T24" s="21">
        <v>8</v>
      </c>
    </row>
    <row r="25" spans="1:20" ht="21" x14ac:dyDescent="0.35">
      <c r="A25" s="28">
        <v>23</v>
      </c>
      <c r="B25" s="29" t="s">
        <v>80</v>
      </c>
      <c r="C25" s="30" t="s">
        <v>124</v>
      </c>
      <c r="D25" s="30" t="s">
        <v>118</v>
      </c>
      <c r="E25" s="12" t="s">
        <v>118</v>
      </c>
      <c r="F25" s="16">
        <v>74</v>
      </c>
      <c r="G25" s="17">
        <v>65</v>
      </c>
      <c r="H25" s="18">
        <v>86</v>
      </c>
      <c r="I25" s="16">
        <v>69</v>
      </c>
      <c r="J25" s="19">
        <v>68</v>
      </c>
      <c r="K25" s="20">
        <v>88</v>
      </c>
      <c r="L25" s="21">
        <v>69</v>
      </c>
      <c r="N25" s="16">
        <v>9</v>
      </c>
      <c r="O25" s="17">
        <v>10</v>
      </c>
      <c r="P25" s="18">
        <v>9</v>
      </c>
      <c r="Q25" s="16">
        <v>7</v>
      </c>
      <c r="R25" s="19">
        <v>9</v>
      </c>
      <c r="S25" s="20">
        <v>9</v>
      </c>
      <c r="T25" s="21">
        <v>8</v>
      </c>
    </row>
    <row r="26" spans="1:20" ht="21" x14ac:dyDescent="0.35">
      <c r="A26" s="28">
        <v>24</v>
      </c>
      <c r="B26" s="29" t="s">
        <v>81</v>
      </c>
      <c r="C26" s="30" t="s">
        <v>116</v>
      </c>
      <c r="D26" s="30" t="s">
        <v>114</v>
      </c>
      <c r="E26" s="12" t="s">
        <v>114</v>
      </c>
      <c r="F26" s="16">
        <v>57</v>
      </c>
      <c r="G26" s="17">
        <v>71</v>
      </c>
      <c r="H26" s="18">
        <v>89</v>
      </c>
      <c r="I26" s="16">
        <v>59</v>
      </c>
      <c r="J26" s="19">
        <v>70</v>
      </c>
      <c r="K26" s="20">
        <v>76</v>
      </c>
      <c r="L26" s="21">
        <v>53</v>
      </c>
      <c r="N26" s="16">
        <v>7</v>
      </c>
      <c r="O26" s="17">
        <v>8</v>
      </c>
      <c r="P26" s="18">
        <v>9</v>
      </c>
      <c r="Q26" s="16">
        <v>10</v>
      </c>
      <c r="R26" s="19">
        <v>7</v>
      </c>
      <c r="S26" s="20">
        <v>9</v>
      </c>
      <c r="T26" s="21">
        <v>7</v>
      </c>
    </row>
    <row r="27" spans="1:20" ht="21" x14ac:dyDescent="0.35">
      <c r="A27" s="28">
        <v>25</v>
      </c>
      <c r="B27" s="29" t="s">
        <v>82</v>
      </c>
      <c r="C27" s="30" t="s">
        <v>116</v>
      </c>
      <c r="D27" s="30" t="s">
        <v>109</v>
      </c>
      <c r="E27" s="12" t="s">
        <v>109</v>
      </c>
      <c r="F27" s="16">
        <v>68</v>
      </c>
      <c r="G27" s="17">
        <v>95</v>
      </c>
      <c r="H27" s="18">
        <v>76</v>
      </c>
      <c r="I27" s="16">
        <v>59</v>
      </c>
      <c r="J27" s="19">
        <v>98</v>
      </c>
      <c r="K27" s="20">
        <v>81</v>
      </c>
      <c r="L27" s="21">
        <v>58</v>
      </c>
      <c r="N27" s="16">
        <v>8</v>
      </c>
      <c r="O27" s="17">
        <v>7</v>
      </c>
      <c r="P27" s="18">
        <v>8</v>
      </c>
      <c r="Q27" s="16">
        <v>9</v>
      </c>
      <c r="R27" s="19">
        <v>9</v>
      </c>
      <c r="S27" s="20">
        <v>7</v>
      </c>
      <c r="T27" s="21">
        <v>7</v>
      </c>
    </row>
    <row r="28" spans="1:20" ht="21" x14ac:dyDescent="0.35">
      <c r="A28" s="28">
        <v>26</v>
      </c>
      <c r="B28" s="29" t="s">
        <v>83</v>
      </c>
      <c r="C28" s="30" t="s">
        <v>116</v>
      </c>
      <c r="D28" s="30" t="s">
        <v>110</v>
      </c>
      <c r="E28" s="12" t="s">
        <v>110</v>
      </c>
      <c r="F28" s="16">
        <v>77</v>
      </c>
      <c r="G28" s="17">
        <v>97</v>
      </c>
      <c r="H28" s="18">
        <v>74</v>
      </c>
      <c r="I28" s="16">
        <v>84</v>
      </c>
      <c r="J28" s="19">
        <v>77</v>
      </c>
      <c r="K28" s="20">
        <v>66</v>
      </c>
      <c r="L28" s="21">
        <v>66</v>
      </c>
      <c r="N28" s="16">
        <v>10</v>
      </c>
      <c r="O28" s="17">
        <v>7</v>
      </c>
      <c r="P28" s="18">
        <v>10</v>
      </c>
      <c r="Q28" s="16">
        <v>9</v>
      </c>
      <c r="R28" s="19">
        <v>7</v>
      </c>
      <c r="S28" s="20">
        <v>7</v>
      </c>
      <c r="T28" s="21">
        <v>8</v>
      </c>
    </row>
    <row r="29" spans="1:20" ht="21" x14ac:dyDescent="0.35">
      <c r="A29" s="28">
        <v>27</v>
      </c>
      <c r="B29" s="29" t="s">
        <v>84</v>
      </c>
      <c r="C29" s="30" t="s">
        <v>116</v>
      </c>
      <c r="D29" s="30" t="s">
        <v>111</v>
      </c>
      <c r="E29" s="12" t="s">
        <v>111</v>
      </c>
      <c r="F29" s="16">
        <v>91</v>
      </c>
      <c r="G29" s="17">
        <v>95</v>
      </c>
      <c r="H29" s="18">
        <v>66</v>
      </c>
      <c r="I29" s="16">
        <v>91</v>
      </c>
      <c r="J29" s="19">
        <v>58</v>
      </c>
      <c r="K29" s="20">
        <v>99</v>
      </c>
      <c r="L29" s="21">
        <v>52</v>
      </c>
      <c r="N29" s="16">
        <v>10</v>
      </c>
      <c r="O29" s="17">
        <v>8</v>
      </c>
      <c r="P29" s="18">
        <v>7</v>
      </c>
      <c r="Q29" s="16">
        <v>10</v>
      </c>
      <c r="R29" s="19">
        <v>7</v>
      </c>
      <c r="S29" s="20">
        <v>8</v>
      </c>
      <c r="T29" s="21">
        <v>9</v>
      </c>
    </row>
    <row r="30" spans="1:20" ht="21" x14ac:dyDescent="0.35">
      <c r="A30" s="28">
        <v>28</v>
      </c>
      <c r="B30" s="29" t="s">
        <v>85</v>
      </c>
      <c r="C30" s="30" t="s">
        <v>120</v>
      </c>
      <c r="D30" s="30" t="s">
        <v>113</v>
      </c>
      <c r="E30" s="12" t="s">
        <v>113</v>
      </c>
      <c r="F30" s="16">
        <v>65</v>
      </c>
      <c r="G30" s="17">
        <v>58</v>
      </c>
      <c r="H30" s="18">
        <v>65</v>
      </c>
      <c r="I30" s="16">
        <v>55</v>
      </c>
      <c r="J30" s="19">
        <v>77</v>
      </c>
      <c r="K30" s="20">
        <v>72</v>
      </c>
      <c r="L30" s="21">
        <v>62</v>
      </c>
      <c r="N30" s="16">
        <v>10</v>
      </c>
      <c r="O30" s="17">
        <v>8</v>
      </c>
      <c r="P30" s="18">
        <v>8</v>
      </c>
      <c r="Q30" s="16">
        <v>10</v>
      </c>
      <c r="R30" s="19">
        <v>8</v>
      </c>
      <c r="S30" s="20">
        <v>9</v>
      </c>
      <c r="T30" s="21">
        <v>10</v>
      </c>
    </row>
    <row r="31" spans="1:20" ht="21" x14ac:dyDescent="0.35">
      <c r="A31" s="28">
        <v>29</v>
      </c>
      <c r="B31" s="29" t="s">
        <v>86</v>
      </c>
      <c r="C31" s="30" t="s">
        <v>123</v>
      </c>
      <c r="D31" s="30" t="s">
        <v>132</v>
      </c>
      <c r="E31" s="12" t="s">
        <v>132</v>
      </c>
      <c r="F31" s="16">
        <v>71</v>
      </c>
      <c r="G31" s="17">
        <v>77</v>
      </c>
      <c r="H31" s="18">
        <v>97</v>
      </c>
      <c r="I31" s="16">
        <v>78</v>
      </c>
      <c r="J31" s="19">
        <v>78</v>
      </c>
      <c r="K31" s="20">
        <v>64</v>
      </c>
      <c r="L31" s="21">
        <v>87</v>
      </c>
      <c r="N31" s="16">
        <v>8</v>
      </c>
      <c r="O31" s="17">
        <v>8</v>
      </c>
      <c r="P31" s="18">
        <v>8</v>
      </c>
      <c r="Q31" s="16">
        <v>10</v>
      </c>
      <c r="R31" s="19">
        <v>9</v>
      </c>
      <c r="S31" s="20">
        <v>8</v>
      </c>
      <c r="T31" s="21">
        <v>10</v>
      </c>
    </row>
    <row r="32" spans="1:20" ht="21" x14ac:dyDescent="0.35">
      <c r="A32" s="28">
        <v>30</v>
      </c>
      <c r="B32" s="29" t="s">
        <v>87</v>
      </c>
      <c r="C32" s="30" t="s">
        <v>132</v>
      </c>
      <c r="D32" s="30" t="s">
        <v>113</v>
      </c>
      <c r="E32" s="12" t="s">
        <v>113</v>
      </c>
      <c r="F32" s="16">
        <v>94</v>
      </c>
      <c r="G32" s="17">
        <v>66</v>
      </c>
      <c r="H32" s="18">
        <v>75</v>
      </c>
      <c r="I32" s="16">
        <v>62</v>
      </c>
      <c r="J32" s="19">
        <v>96</v>
      </c>
      <c r="K32" s="20">
        <v>97</v>
      </c>
      <c r="L32" s="21">
        <v>59</v>
      </c>
      <c r="N32" s="16">
        <v>10</v>
      </c>
      <c r="O32" s="17">
        <v>8</v>
      </c>
      <c r="P32" s="18">
        <v>10</v>
      </c>
      <c r="Q32" s="16">
        <v>9</v>
      </c>
      <c r="R32" s="19">
        <v>8</v>
      </c>
      <c r="S32" s="20">
        <v>7</v>
      </c>
      <c r="T32" s="21">
        <v>8</v>
      </c>
    </row>
    <row r="33" spans="1:20" ht="21" x14ac:dyDescent="0.35">
      <c r="A33" s="28">
        <v>31</v>
      </c>
      <c r="B33" s="29" t="s">
        <v>88</v>
      </c>
      <c r="C33" s="30" t="s">
        <v>125</v>
      </c>
      <c r="D33" s="30" t="s">
        <v>108</v>
      </c>
      <c r="E33" s="12" t="s">
        <v>108</v>
      </c>
      <c r="F33" s="16">
        <v>96</v>
      </c>
      <c r="G33" s="17">
        <v>62</v>
      </c>
      <c r="H33" s="18">
        <v>56</v>
      </c>
      <c r="I33" s="16">
        <v>56</v>
      </c>
      <c r="J33" s="19">
        <v>64</v>
      </c>
      <c r="K33" s="20">
        <v>71</v>
      </c>
      <c r="L33" s="21">
        <v>70</v>
      </c>
      <c r="N33" s="16">
        <v>10</v>
      </c>
      <c r="O33" s="17">
        <v>10</v>
      </c>
      <c r="P33" s="18">
        <v>7</v>
      </c>
      <c r="Q33" s="16">
        <v>10</v>
      </c>
      <c r="R33" s="19">
        <v>9</v>
      </c>
      <c r="S33" s="20">
        <v>8</v>
      </c>
      <c r="T33" s="21">
        <v>9</v>
      </c>
    </row>
    <row r="34" spans="1:20" ht="21" x14ac:dyDescent="0.35">
      <c r="A34" s="28">
        <v>32</v>
      </c>
      <c r="B34" s="29" t="s">
        <v>89</v>
      </c>
      <c r="C34" s="30" t="s">
        <v>114</v>
      </c>
      <c r="D34" s="30" t="s">
        <v>109</v>
      </c>
      <c r="E34" s="12" t="s">
        <v>109</v>
      </c>
      <c r="F34" s="16">
        <v>60</v>
      </c>
      <c r="G34" s="17">
        <v>84</v>
      </c>
      <c r="H34" s="18">
        <v>55</v>
      </c>
      <c r="I34" s="16">
        <v>54</v>
      </c>
      <c r="J34" s="19">
        <v>85</v>
      </c>
      <c r="K34" s="20">
        <v>59</v>
      </c>
      <c r="L34" s="21">
        <v>83</v>
      </c>
      <c r="N34" s="16">
        <v>9</v>
      </c>
      <c r="O34" s="17">
        <v>10</v>
      </c>
      <c r="P34" s="18">
        <v>10</v>
      </c>
      <c r="Q34" s="16">
        <v>8</v>
      </c>
      <c r="R34" s="19">
        <v>7</v>
      </c>
      <c r="S34" s="20">
        <v>10</v>
      </c>
      <c r="T34" s="21">
        <v>9</v>
      </c>
    </row>
    <row r="35" spans="1:20" ht="21" x14ac:dyDescent="0.35">
      <c r="A35" s="28">
        <v>33</v>
      </c>
      <c r="B35" s="29" t="s">
        <v>90</v>
      </c>
      <c r="C35" s="30" t="s">
        <v>121</v>
      </c>
      <c r="D35" s="30" t="s">
        <v>108</v>
      </c>
      <c r="E35" s="12" t="s">
        <v>108</v>
      </c>
      <c r="F35" s="16">
        <v>60</v>
      </c>
      <c r="G35" s="17">
        <v>56</v>
      </c>
      <c r="H35" s="18">
        <v>76</v>
      </c>
      <c r="I35" s="16">
        <v>74</v>
      </c>
      <c r="J35" s="19">
        <v>91</v>
      </c>
      <c r="K35" s="20">
        <v>74</v>
      </c>
      <c r="L35" s="21">
        <v>59</v>
      </c>
      <c r="N35" s="16">
        <v>10</v>
      </c>
      <c r="O35" s="17">
        <v>7</v>
      </c>
      <c r="P35" s="18">
        <v>8</v>
      </c>
      <c r="Q35" s="16">
        <v>10</v>
      </c>
      <c r="R35" s="19">
        <v>9</v>
      </c>
      <c r="S35" s="20">
        <v>7</v>
      </c>
      <c r="T35" s="21">
        <v>10</v>
      </c>
    </row>
    <row r="36" spans="1:20" ht="21" x14ac:dyDescent="0.35">
      <c r="A36" s="28">
        <v>34</v>
      </c>
      <c r="B36" s="29" t="s">
        <v>91</v>
      </c>
      <c r="C36" s="30" t="s">
        <v>117</v>
      </c>
      <c r="D36" s="30" t="s">
        <v>110</v>
      </c>
      <c r="E36" s="12" t="s">
        <v>110</v>
      </c>
      <c r="F36" s="16">
        <v>93</v>
      </c>
      <c r="G36" s="17">
        <v>61</v>
      </c>
      <c r="H36" s="18">
        <v>55</v>
      </c>
      <c r="I36" s="16">
        <v>51</v>
      </c>
      <c r="J36" s="19">
        <v>96</v>
      </c>
      <c r="K36" s="20">
        <v>71</v>
      </c>
      <c r="L36" s="21">
        <v>70</v>
      </c>
      <c r="N36" s="16">
        <v>10</v>
      </c>
      <c r="O36" s="17">
        <v>8</v>
      </c>
      <c r="P36" s="18">
        <v>10</v>
      </c>
      <c r="Q36" s="16">
        <v>9</v>
      </c>
      <c r="R36" s="19">
        <v>8</v>
      </c>
      <c r="S36" s="20">
        <v>8</v>
      </c>
      <c r="T36" s="21">
        <v>8</v>
      </c>
    </row>
    <row r="37" spans="1:20" ht="21" x14ac:dyDescent="0.35">
      <c r="A37" s="28">
        <v>35</v>
      </c>
      <c r="B37" s="29" t="s">
        <v>92</v>
      </c>
      <c r="C37" s="30" t="s">
        <v>124</v>
      </c>
      <c r="D37" s="30" t="s">
        <v>111</v>
      </c>
      <c r="E37" s="12" t="s">
        <v>111</v>
      </c>
      <c r="F37" s="16">
        <v>88</v>
      </c>
      <c r="G37" s="17">
        <v>90</v>
      </c>
      <c r="H37" s="18">
        <v>92</v>
      </c>
      <c r="I37" s="16">
        <v>58</v>
      </c>
      <c r="J37" s="19">
        <v>51</v>
      </c>
      <c r="K37" s="20">
        <v>83</v>
      </c>
      <c r="L37" s="21">
        <v>80</v>
      </c>
      <c r="N37" s="16">
        <v>9</v>
      </c>
      <c r="O37" s="17">
        <v>10</v>
      </c>
      <c r="P37" s="18">
        <v>7</v>
      </c>
      <c r="Q37" s="16">
        <v>9</v>
      </c>
      <c r="R37" s="19">
        <v>8</v>
      </c>
      <c r="S37" s="20">
        <v>9</v>
      </c>
      <c r="T37" s="21">
        <v>7</v>
      </c>
    </row>
    <row r="38" spans="1:20" ht="21" x14ac:dyDescent="0.35">
      <c r="A38" s="28">
        <v>36</v>
      </c>
      <c r="B38" s="29" t="s">
        <v>93</v>
      </c>
      <c r="C38" s="30" t="s">
        <v>120</v>
      </c>
      <c r="D38" s="30" t="s">
        <v>112</v>
      </c>
      <c r="E38" s="12" t="s">
        <v>112</v>
      </c>
      <c r="F38" s="16">
        <v>82</v>
      </c>
      <c r="G38" s="17">
        <v>61</v>
      </c>
      <c r="H38" s="18">
        <v>53</v>
      </c>
      <c r="I38" s="16">
        <v>89</v>
      </c>
      <c r="J38" s="19">
        <v>63</v>
      </c>
      <c r="K38" s="20">
        <v>62</v>
      </c>
      <c r="L38" s="21">
        <v>65</v>
      </c>
      <c r="N38" s="16">
        <v>9</v>
      </c>
      <c r="O38" s="17">
        <v>10</v>
      </c>
      <c r="P38" s="18">
        <v>10</v>
      </c>
      <c r="Q38" s="16">
        <v>8</v>
      </c>
      <c r="R38" s="19">
        <v>9</v>
      </c>
      <c r="S38" s="20">
        <v>7</v>
      </c>
      <c r="T38" s="21">
        <v>9</v>
      </c>
    </row>
    <row r="39" spans="1:20" ht="21" x14ac:dyDescent="0.35">
      <c r="A39" s="28">
        <v>37</v>
      </c>
      <c r="B39" s="29" t="s">
        <v>94</v>
      </c>
      <c r="C39" s="30" t="s">
        <v>117</v>
      </c>
      <c r="D39" s="30" t="s">
        <v>113</v>
      </c>
      <c r="E39" s="12" t="s">
        <v>113</v>
      </c>
      <c r="F39" s="16">
        <v>83</v>
      </c>
      <c r="G39" s="17">
        <v>96</v>
      </c>
      <c r="H39" s="18">
        <v>83</v>
      </c>
      <c r="I39" s="16">
        <v>91</v>
      </c>
      <c r="J39" s="19">
        <v>70</v>
      </c>
      <c r="K39" s="20">
        <v>78</v>
      </c>
      <c r="L39" s="21">
        <v>91</v>
      </c>
      <c r="N39" s="16">
        <v>8</v>
      </c>
      <c r="O39" s="17">
        <v>10</v>
      </c>
      <c r="P39" s="18">
        <v>8</v>
      </c>
      <c r="Q39" s="16">
        <v>8</v>
      </c>
      <c r="R39" s="19">
        <v>10</v>
      </c>
      <c r="S39" s="20">
        <v>7</v>
      </c>
      <c r="T39" s="21">
        <v>7</v>
      </c>
    </row>
    <row r="40" spans="1:20" ht="21" x14ac:dyDescent="0.35">
      <c r="A40" s="28">
        <v>38</v>
      </c>
      <c r="B40" s="29" t="s">
        <v>95</v>
      </c>
      <c r="C40" s="30" t="s">
        <v>132</v>
      </c>
      <c r="D40" s="30" t="s">
        <v>114</v>
      </c>
      <c r="E40" s="12" t="s">
        <v>114</v>
      </c>
      <c r="F40" s="16">
        <v>91</v>
      </c>
      <c r="G40" s="17">
        <v>97</v>
      </c>
      <c r="H40" s="18">
        <v>99</v>
      </c>
      <c r="I40" s="16">
        <v>60</v>
      </c>
      <c r="J40" s="19">
        <v>99</v>
      </c>
      <c r="K40" s="20">
        <v>85</v>
      </c>
      <c r="L40" s="21">
        <v>75</v>
      </c>
      <c r="N40" s="16">
        <v>8</v>
      </c>
      <c r="O40" s="17">
        <v>9</v>
      </c>
      <c r="P40" s="18">
        <v>8</v>
      </c>
      <c r="Q40" s="16">
        <v>8</v>
      </c>
      <c r="R40" s="19">
        <v>9</v>
      </c>
      <c r="S40" s="20">
        <v>9</v>
      </c>
      <c r="T40" s="21">
        <v>9</v>
      </c>
    </row>
    <row r="41" spans="1:20" ht="21" x14ac:dyDescent="0.35">
      <c r="A41" s="28">
        <v>39</v>
      </c>
      <c r="B41" s="29" t="s">
        <v>96</v>
      </c>
      <c r="C41" s="30" t="s">
        <v>117</v>
      </c>
      <c r="D41" s="30" t="s">
        <v>112</v>
      </c>
      <c r="E41" s="12" t="s">
        <v>112</v>
      </c>
      <c r="F41" s="16">
        <v>52</v>
      </c>
      <c r="G41" s="17">
        <v>88</v>
      </c>
      <c r="H41" s="18">
        <v>78</v>
      </c>
      <c r="I41" s="16">
        <v>96</v>
      </c>
      <c r="J41" s="19">
        <v>51</v>
      </c>
      <c r="K41" s="20">
        <v>71</v>
      </c>
      <c r="L41" s="21">
        <v>73</v>
      </c>
      <c r="N41" s="16">
        <v>7</v>
      </c>
      <c r="O41" s="17">
        <v>8</v>
      </c>
      <c r="P41" s="18">
        <v>8</v>
      </c>
      <c r="Q41" s="16">
        <v>9</v>
      </c>
      <c r="R41" s="19">
        <v>8</v>
      </c>
      <c r="S41" s="20">
        <v>9</v>
      </c>
      <c r="T41" s="21">
        <v>10</v>
      </c>
    </row>
    <row r="42" spans="1:20" ht="21" x14ac:dyDescent="0.35">
      <c r="A42" s="28">
        <v>40</v>
      </c>
      <c r="B42" s="29" t="s">
        <v>97</v>
      </c>
      <c r="C42" s="30" t="s">
        <v>118</v>
      </c>
      <c r="D42" s="30" t="s">
        <v>115</v>
      </c>
      <c r="E42" s="12" t="s">
        <v>115</v>
      </c>
      <c r="F42" s="16">
        <v>63</v>
      </c>
      <c r="G42" s="17">
        <v>85</v>
      </c>
      <c r="H42" s="18">
        <v>99</v>
      </c>
      <c r="I42" s="16">
        <v>97</v>
      </c>
      <c r="J42" s="19">
        <v>72</v>
      </c>
      <c r="K42" s="20">
        <v>86</v>
      </c>
      <c r="L42" s="21">
        <v>58</v>
      </c>
      <c r="N42" s="16">
        <v>7</v>
      </c>
      <c r="O42" s="17">
        <v>9</v>
      </c>
      <c r="P42" s="18">
        <v>10</v>
      </c>
      <c r="Q42" s="16">
        <v>10</v>
      </c>
      <c r="R42" s="19">
        <v>8</v>
      </c>
      <c r="S42" s="20">
        <v>10</v>
      </c>
      <c r="T42" s="21">
        <v>9</v>
      </c>
    </row>
    <row r="43" spans="1:20" ht="21" x14ac:dyDescent="0.35">
      <c r="A43" s="28">
        <v>41</v>
      </c>
      <c r="B43" s="29" t="s">
        <v>98</v>
      </c>
      <c r="C43" s="30" t="s">
        <v>120</v>
      </c>
      <c r="D43" s="30" t="s">
        <v>116</v>
      </c>
      <c r="E43" s="12" t="s">
        <v>116</v>
      </c>
      <c r="F43" s="16">
        <v>67</v>
      </c>
      <c r="G43" s="17">
        <v>55</v>
      </c>
      <c r="H43" s="18">
        <v>83</v>
      </c>
      <c r="I43" s="16">
        <v>96</v>
      </c>
      <c r="J43" s="19">
        <v>64</v>
      </c>
      <c r="K43" s="20">
        <v>80</v>
      </c>
      <c r="L43" s="21">
        <v>97</v>
      </c>
      <c r="N43" s="16">
        <v>10</v>
      </c>
      <c r="O43" s="17">
        <v>10</v>
      </c>
      <c r="P43" s="18">
        <v>7</v>
      </c>
      <c r="Q43" s="16">
        <v>10</v>
      </c>
      <c r="R43" s="19">
        <v>9</v>
      </c>
      <c r="S43" s="20">
        <v>8</v>
      </c>
      <c r="T43" s="21">
        <v>10</v>
      </c>
    </row>
    <row r="44" spans="1:20" ht="21" x14ac:dyDescent="0.35">
      <c r="A44" s="28">
        <v>42</v>
      </c>
      <c r="B44" s="29" t="s">
        <v>99</v>
      </c>
      <c r="C44" s="30" t="s">
        <v>115</v>
      </c>
      <c r="D44" s="30" t="s">
        <v>108</v>
      </c>
      <c r="E44" s="12" t="s">
        <v>108</v>
      </c>
      <c r="F44" s="16">
        <v>94</v>
      </c>
      <c r="G44" s="17">
        <v>99</v>
      </c>
      <c r="H44" s="18">
        <v>98</v>
      </c>
      <c r="I44" s="16">
        <v>83</v>
      </c>
      <c r="J44" s="19">
        <v>86</v>
      </c>
      <c r="K44" s="20">
        <v>88</v>
      </c>
      <c r="L44" s="21">
        <v>67</v>
      </c>
      <c r="N44" s="16">
        <v>9</v>
      </c>
      <c r="O44" s="17">
        <v>8</v>
      </c>
      <c r="P44" s="18">
        <v>8</v>
      </c>
      <c r="Q44" s="16">
        <v>7</v>
      </c>
      <c r="R44" s="19">
        <v>7</v>
      </c>
      <c r="S44" s="20">
        <v>10</v>
      </c>
      <c r="T44" s="21">
        <v>8</v>
      </c>
    </row>
    <row r="45" spans="1:20" ht="21" x14ac:dyDescent="0.35">
      <c r="A45" s="28">
        <v>43</v>
      </c>
      <c r="B45" s="29" t="s">
        <v>100</v>
      </c>
      <c r="C45" s="30" t="s">
        <v>132</v>
      </c>
      <c r="D45" s="30" t="s">
        <v>117</v>
      </c>
      <c r="E45" s="12" t="s">
        <v>117</v>
      </c>
      <c r="F45" s="16">
        <v>56</v>
      </c>
      <c r="G45" s="17">
        <v>68</v>
      </c>
      <c r="H45" s="18">
        <v>76</v>
      </c>
      <c r="I45" s="16">
        <v>94</v>
      </c>
      <c r="J45" s="19">
        <v>50</v>
      </c>
      <c r="K45" s="20">
        <v>82</v>
      </c>
      <c r="L45" s="21">
        <v>94</v>
      </c>
      <c r="N45" s="16">
        <v>9</v>
      </c>
      <c r="O45" s="17">
        <v>9</v>
      </c>
      <c r="P45" s="18">
        <v>10</v>
      </c>
      <c r="Q45" s="16">
        <v>10</v>
      </c>
      <c r="R45" s="19">
        <v>7</v>
      </c>
      <c r="S45" s="20">
        <v>9</v>
      </c>
      <c r="T45" s="21">
        <v>7</v>
      </c>
    </row>
    <row r="46" spans="1:20" ht="21" x14ac:dyDescent="0.35">
      <c r="A46" s="28">
        <v>44</v>
      </c>
      <c r="B46" s="29" t="s">
        <v>101</v>
      </c>
      <c r="C46" s="30" t="s">
        <v>122</v>
      </c>
      <c r="D46" s="30" t="s">
        <v>118</v>
      </c>
      <c r="E46" s="12" t="s">
        <v>118</v>
      </c>
      <c r="F46" s="16">
        <v>85</v>
      </c>
      <c r="G46" s="17">
        <v>51</v>
      </c>
      <c r="H46" s="18">
        <v>82</v>
      </c>
      <c r="I46" s="16">
        <v>73</v>
      </c>
      <c r="J46" s="19">
        <v>51</v>
      </c>
      <c r="K46" s="20">
        <v>52</v>
      </c>
      <c r="L46" s="21">
        <v>71</v>
      </c>
      <c r="N46" s="16">
        <v>10</v>
      </c>
      <c r="O46" s="17">
        <v>10</v>
      </c>
      <c r="P46" s="18">
        <v>9</v>
      </c>
      <c r="Q46" s="16">
        <v>7</v>
      </c>
      <c r="R46" s="19">
        <v>8</v>
      </c>
      <c r="S46" s="20">
        <v>8</v>
      </c>
      <c r="T46" s="21">
        <v>10</v>
      </c>
    </row>
    <row r="47" spans="1:20" ht="21" x14ac:dyDescent="0.35">
      <c r="A47" s="28">
        <v>45</v>
      </c>
      <c r="B47" s="29" t="s">
        <v>102</v>
      </c>
      <c r="C47" s="30" t="s">
        <v>110</v>
      </c>
      <c r="D47" s="30" t="s">
        <v>119</v>
      </c>
      <c r="E47" s="12" t="s">
        <v>119</v>
      </c>
      <c r="F47" s="16">
        <v>53</v>
      </c>
      <c r="G47" s="17">
        <v>64</v>
      </c>
      <c r="H47" s="18">
        <v>86</v>
      </c>
      <c r="I47" s="16">
        <v>50</v>
      </c>
      <c r="J47" s="19">
        <v>67</v>
      </c>
      <c r="K47" s="20">
        <v>98</v>
      </c>
      <c r="L47" s="21">
        <v>56</v>
      </c>
      <c r="N47" s="16">
        <v>10</v>
      </c>
      <c r="O47" s="17">
        <v>10</v>
      </c>
      <c r="P47" s="18">
        <v>9</v>
      </c>
      <c r="Q47" s="16">
        <v>9</v>
      </c>
      <c r="R47" s="19">
        <v>7</v>
      </c>
      <c r="S47" s="20">
        <v>8</v>
      </c>
      <c r="T47" s="21">
        <v>9</v>
      </c>
    </row>
    <row r="48" spans="1:20" ht="21" x14ac:dyDescent="0.35">
      <c r="A48" s="28">
        <v>46</v>
      </c>
      <c r="B48" s="29" t="s">
        <v>103</v>
      </c>
      <c r="C48" s="30" t="s">
        <v>108</v>
      </c>
      <c r="D48" s="30" t="s">
        <v>120</v>
      </c>
      <c r="E48" s="12" t="s">
        <v>120</v>
      </c>
      <c r="F48" s="16">
        <v>70</v>
      </c>
      <c r="G48" s="17">
        <v>51</v>
      </c>
      <c r="H48" s="18">
        <v>52</v>
      </c>
      <c r="I48" s="16">
        <v>55</v>
      </c>
      <c r="J48" s="19">
        <v>63</v>
      </c>
      <c r="K48" s="20">
        <v>80</v>
      </c>
      <c r="L48" s="21">
        <v>80</v>
      </c>
      <c r="N48" s="16">
        <v>7</v>
      </c>
      <c r="O48" s="17">
        <v>10</v>
      </c>
      <c r="P48" s="18">
        <v>9</v>
      </c>
      <c r="Q48" s="16">
        <v>9</v>
      </c>
      <c r="R48" s="19">
        <v>9</v>
      </c>
      <c r="S48" s="20">
        <v>9</v>
      </c>
      <c r="T48" s="21">
        <v>8</v>
      </c>
    </row>
    <row r="49" spans="1:20" ht="21" x14ac:dyDescent="0.35">
      <c r="A49" s="28">
        <v>47</v>
      </c>
      <c r="B49" s="29" t="s">
        <v>104</v>
      </c>
      <c r="C49" s="30" t="s">
        <v>123</v>
      </c>
      <c r="D49" s="30" t="s">
        <v>117</v>
      </c>
      <c r="E49" s="12" t="s">
        <v>117</v>
      </c>
      <c r="F49" s="16">
        <v>71</v>
      </c>
      <c r="G49" s="17">
        <v>54</v>
      </c>
      <c r="H49" s="18">
        <v>60</v>
      </c>
      <c r="I49" s="16">
        <v>69</v>
      </c>
      <c r="J49" s="19">
        <v>92</v>
      </c>
      <c r="K49" s="20">
        <v>90</v>
      </c>
      <c r="L49" s="21">
        <v>78</v>
      </c>
      <c r="N49" s="16">
        <v>7</v>
      </c>
      <c r="O49" s="17">
        <v>7</v>
      </c>
      <c r="P49" s="18">
        <v>9</v>
      </c>
      <c r="Q49" s="16">
        <v>10</v>
      </c>
      <c r="R49" s="19">
        <v>9</v>
      </c>
      <c r="S49" s="20">
        <v>8</v>
      </c>
      <c r="T49" s="21">
        <v>10</v>
      </c>
    </row>
    <row r="50" spans="1:20" ht="21" x14ac:dyDescent="0.35">
      <c r="A50" s="28">
        <v>48</v>
      </c>
      <c r="B50" s="29" t="s">
        <v>105</v>
      </c>
      <c r="C50" s="30" t="s">
        <v>108</v>
      </c>
      <c r="D50" s="30" t="s">
        <v>116</v>
      </c>
      <c r="E50" s="12" t="s">
        <v>116</v>
      </c>
      <c r="F50" s="16">
        <v>66</v>
      </c>
      <c r="G50" s="17">
        <v>63</v>
      </c>
      <c r="H50" s="18">
        <v>54</v>
      </c>
      <c r="I50" s="16">
        <v>58</v>
      </c>
      <c r="J50" s="19">
        <v>79</v>
      </c>
      <c r="K50" s="20">
        <v>79</v>
      </c>
      <c r="L50" s="21">
        <v>69</v>
      </c>
      <c r="N50" s="16">
        <v>8</v>
      </c>
      <c r="O50" s="17">
        <v>9</v>
      </c>
      <c r="P50" s="18">
        <v>7</v>
      </c>
      <c r="Q50" s="16">
        <v>8</v>
      </c>
      <c r="R50" s="19">
        <v>9</v>
      </c>
      <c r="S50" s="20">
        <v>9</v>
      </c>
      <c r="T50" s="21">
        <v>10</v>
      </c>
    </row>
    <row r="51" spans="1:20" ht="21" x14ac:dyDescent="0.35">
      <c r="A51" s="28">
        <v>49</v>
      </c>
      <c r="B51" s="29" t="s">
        <v>106</v>
      </c>
      <c r="C51" s="30" t="s">
        <v>124</v>
      </c>
      <c r="D51" s="30" t="s">
        <v>121</v>
      </c>
      <c r="E51" s="12" t="s">
        <v>121</v>
      </c>
      <c r="F51" s="16">
        <v>85</v>
      </c>
      <c r="G51" s="17">
        <v>88</v>
      </c>
      <c r="H51" s="18">
        <v>57</v>
      </c>
      <c r="I51" s="16">
        <v>63</v>
      </c>
      <c r="J51" s="19">
        <v>71</v>
      </c>
      <c r="K51" s="20">
        <v>80</v>
      </c>
      <c r="L51" s="21">
        <v>65</v>
      </c>
      <c r="N51" s="16">
        <v>8</v>
      </c>
      <c r="O51" s="17">
        <v>7</v>
      </c>
      <c r="P51" s="18">
        <v>8</v>
      </c>
      <c r="Q51" s="16">
        <v>7</v>
      </c>
      <c r="R51" s="19">
        <v>7</v>
      </c>
      <c r="S51" s="20">
        <v>8</v>
      </c>
      <c r="T51" s="21">
        <v>9</v>
      </c>
    </row>
    <row r="52" spans="1:20" ht="21" x14ac:dyDescent="0.35">
      <c r="A52" s="28">
        <v>50</v>
      </c>
      <c r="B52" s="29" t="s">
        <v>107</v>
      </c>
      <c r="C52" s="30" t="s">
        <v>124</v>
      </c>
      <c r="D52" s="30" t="s">
        <v>122</v>
      </c>
      <c r="E52" s="12" t="s">
        <v>122</v>
      </c>
      <c r="F52" s="16">
        <v>99</v>
      </c>
      <c r="G52" s="17">
        <v>79</v>
      </c>
      <c r="H52" s="18">
        <v>66</v>
      </c>
      <c r="I52" s="16">
        <v>69</v>
      </c>
      <c r="J52" s="19">
        <v>80</v>
      </c>
      <c r="K52" s="20">
        <v>61</v>
      </c>
      <c r="L52" s="21">
        <v>52</v>
      </c>
      <c r="N52" s="16">
        <v>7</v>
      </c>
      <c r="O52" s="17">
        <v>8</v>
      </c>
      <c r="P52" s="18">
        <v>8</v>
      </c>
      <c r="Q52" s="16">
        <v>10</v>
      </c>
      <c r="R52" s="19">
        <v>8</v>
      </c>
      <c r="S52" s="20">
        <v>9</v>
      </c>
      <c r="T52" s="21">
        <v>9</v>
      </c>
    </row>
  </sheetData>
  <mergeCells count="2">
    <mergeCell ref="F1:L1"/>
    <mergeCell ref="N1:T1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I12"/>
  <sheetViews>
    <sheetView workbookViewId="0">
      <selection activeCell="D14" sqref="D14"/>
    </sheetView>
  </sheetViews>
  <sheetFormatPr defaultRowHeight="15" x14ac:dyDescent="0.25"/>
  <sheetData>
    <row r="12" spans="9:9" x14ac:dyDescent="0.25">
      <c r="I12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MARKSHEET</vt:lpstr>
      <vt:lpstr>1st Term</vt:lpstr>
      <vt:lpstr>2nd Term</vt:lpstr>
      <vt:lpstr>3rd Term 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7</dc:creator>
  <cp:lastModifiedBy>Amirul Islam</cp:lastModifiedBy>
  <cp:lastPrinted>2026-04-17T11:06:45Z</cp:lastPrinted>
  <dcterms:created xsi:type="dcterms:W3CDTF">2021-12-28T04:12:08Z</dcterms:created>
  <dcterms:modified xsi:type="dcterms:W3CDTF">2026-04-17T11:35:01Z</dcterms:modified>
</cp:coreProperties>
</file>