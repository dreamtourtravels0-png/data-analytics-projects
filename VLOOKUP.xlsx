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L CLASS\20 class\10 Class\"/>
    </mc:Choice>
  </mc:AlternateContent>
  <xr:revisionPtr revIDLastSave="0" documentId="13_ncr:1_{B90661F2-54A0-4C3D-A79A-AFC8D45072BF}" xr6:coauthVersionLast="47" xr6:coauthVersionMax="47" xr10:uidLastSave="{00000000-0000-0000-0000-000000000000}"/>
  <bookViews>
    <workbookView xWindow="-120" yWindow="-120" windowWidth="20730" windowHeight="11160" xr2:uid="{8D1731F9-8DE7-4630-8DAA-E7B633B2229A}"/>
  </bookViews>
  <sheets>
    <sheet name="VLOOKUP" sheetId="1" r:id="rId1"/>
    <sheet name="HLOOKUP" sheetId="3" r:id="rId2"/>
    <sheet name="XLOOKUP" sheetId="4" r:id="rId3"/>
    <sheet name="Xlookup (First to last)" sheetId="5" r:id="rId4"/>
    <sheet name="INDEX+MATCH" sheetId="6" r:id="rId5"/>
    <sheet name="CHOOSE" sheetId="8" r:id="rId6"/>
    <sheet name="OFFSET" sheetId="9" r:id="rId7"/>
    <sheet name="Sheet2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8" l="1"/>
  <c r="B4" i="9"/>
  <c r="B4" i="8"/>
  <c r="B5" i="8"/>
  <c r="B6" i="8"/>
  <c r="B7" i="8"/>
  <c r="B8" i="8"/>
  <c r="B9" i="8"/>
  <c r="B10" i="8"/>
  <c r="B11" i="8"/>
  <c r="B12" i="8"/>
  <c r="B3" i="8"/>
  <c r="E3" i="6"/>
  <c r="I3" i="6"/>
  <c r="H3" i="6"/>
  <c r="B15" i="4"/>
  <c r="M16" i="4"/>
  <c r="J4" i="4"/>
  <c r="J5" i="4"/>
  <c r="J6" i="4"/>
  <c r="J7" i="4"/>
  <c r="J8" i="4"/>
  <c r="J9" i="4"/>
  <c r="J10" i="4"/>
  <c r="J11" i="4"/>
  <c r="J12" i="4"/>
  <c r="C16" i="4"/>
  <c r="C15" i="4"/>
  <c r="D15" i="4" s="1"/>
  <c r="E15" i="4" s="1"/>
  <c r="F15" i="4" s="1"/>
  <c r="E15" i="3"/>
  <c r="E16" i="3"/>
  <c r="E17" i="3"/>
  <c r="E18" i="3"/>
  <c r="E19" i="3"/>
  <c r="E20" i="3"/>
  <c r="B15" i="3"/>
  <c r="B16" i="3"/>
  <c r="B17" i="3"/>
  <c r="B18" i="3"/>
  <c r="B19" i="3"/>
  <c r="B20" i="3"/>
  <c r="H4" i="1"/>
  <c r="H5" i="1"/>
  <c r="H6" i="1"/>
  <c r="H7" i="1"/>
  <c r="H8" i="1"/>
  <c r="H9" i="1"/>
  <c r="H10" i="1"/>
  <c r="H11" i="1"/>
  <c r="H12" i="1"/>
  <c r="H3" i="1"/>
  <c r="G3" i="1"/>
  <c r="G15" i="1"/>
  <c r="C15" i="1"/>
  <c r="D15" i="1"/>
  <c r="E15" i="1"/>
  <c r="F15" i="1"/>
  <c r="B15" i="1"/>
  <c r="J13" i="8" l="1"/>
  <c r="P12" i="8"/>
  <c r="P11" i="8"/>
  <c r="P10" i="8"/>
  <c r="P9" i="8"/>
  <c r="P8" i="8"/>
  <c r="P7" i="8"/>
  <c r="P6" i="8"/>
  <c r="P5" i="8"/>
  <c r="P4" i="8"/>
  <c r="P3" i="8"/>
  <c r="H15" i="6"/>
  <c r="H14" i="6"/>
  <c r="H13" i="6"/>
  <c r="H12" i="6"/>
  <c r="H11" i="6"/>
  <c r="H10" i="6"/>
  <c r="H9" i="6"/>
  <c r="H8" i="6"/>
  <c r="H7" i="6"/>
  <c r="H6" i="6"/>
  <c r="G16" i="5"/>
  <c r="I14" i="5"/>
  <c r="D13" i="5"/>
  <c r="J8" i="5"/>
  <c r="L11" i="5"/>
  <c r="K11" i="5"/>
  <c r="J11" i="5"/>
  <c r="L10" i="5"/>
  <c r="K10" i="5"/>
  <c r="J10" i="5"/>
  <c r="L9" i="5"/>
  <c r="K9" i="5"/>
  <c r="J9" i="5"/>
  <c r="L8" i="5"/>
  <c r="K8" i="5"/>
  <c r="L7" i="5"/>
  <c r="K7" i="5"/>
  <c r="J7" i="5"/>
  <c r="L6" i="5"/>
  <c r="K6" i="5"/>
  <c r="J6" i="5"/>
  <c r="L5" i="5"/>
  <c r="K5" i="5"/>
  <c r="J5" i="5"/>
  <c r="L4" i="5"/>
  <c r="K4" i="5"/>
  <c r="J4" i="5"/>
  <c r="L3" i="5"/>
  <c r="K3" i="5"/>
  <c r="J3" i="5"/>
  <c r="L2" i="5"/>
  <c r="K2" i="5"/>
  <c r="J2" i="5"/>
  <c r="M3" i="5" l="1"/>
  <c r="M4" i="5"/>
  <c r="M5" i="5"/>
  <c r="M6" i="5"/>
  <c r="M7" i="5"/>
  <c r="M8" i="5"/>
  <c r="M9" i="5"/>
  <c r="M10" i="5"/>
  <c r="M11" i="5"/>
  <c r="M2" i="5"/>
  <c r="G12" i="3"/>
  <c r="G11" i="3"/>
  <c r="G10" i="3"/>
  <c r="G9" i="3"/>
  <c r="G8" i="3"/>
  <c r="G7" i="3"/>
  <c r="G6" i="3"/>
  <c r="G5" i="3"/>
  <c r="G4" i="3"/>
  <c r="G3" i="3"/>
  <c r="G4" i="1"/>
  <c r="G5" i="1"/>
  <c r="G6" i="1"/>
  <c r="G7" i="1"/>
  <c r="G8" i="1"/>
  <c r="G9" i="1"/>
  <c r="G10" i="1"/>
  <c r="G11" i="1"/>
  <c r="G12" i="1"/>
</calcChain>
</file>

<file path=xl/sharedStrings.xml><?xml version="1.0" encoding="utf-8"?>
<sst xmlns="http://schemas.openxmlformats.org/spreadsheetml/2006/main" count="236" uniqueCount="79">
  <si>
    <t>Total</t>
  </si>
  <si>
    <t>POCO</t>
  </si>
  <si>
    <t>OPPO</t>
  </si>
  <si>
    <t>REALMI</t>
  </si>
  <si>
    <t>KOLKATA</t>
  </si>
  <si>
    <t>HOWRAH</t>
  </si>
  <si>
    <t>N 24 PARGANA</t>
  </si>
  <si>
    <t>BIRBHUM</t>
  </si>
  <si>
    <t>MEDNIPUR</t>
  </si>
  <si>
    <t>DARJILING</t>
  </si>
  <si>
    <t>MALDA</t>
  </si>
  <si>
    <t>MURSHIDABAD</t>
  </si>
  <si>
    <t>VIVO</t>
  </si>
  <si>
    <t>SAMSUNG</t>
  </si>
  <si>
    <t>DISTRICT NAME</t>
  </si>
  <si>
    <t>Winter sale</t>
  </si>
  <si>
    <t>Flipcart</t>
  </si>
  <si>
    <t>HOOGHLY</t>
  </si>
  <si>
    <t>NADIA</t>
  </si>
  <si>
    <t>Review</t>
  </si>
  <si>
    <t>Good</t>
  </si>
  <si>
    <t>Very Good</t>
  </si>
  <si>
    <t>Excellent</t>
  </si>
  <si>
    <t>Bad</t>
  </si>
  <si>
    <t xml:space="preserve"> </t>
  </si>
  <si>
    <t xml:space="preserve">  </t>
  </si>
  <si>
    <t>A</t>
  </si>
  <si>
    <t>B</t>
  </si>
  <si>
    <t>Grade</t>
  </si>
  <si>
    <t>C</t>
  </si>
  <si>
    <t>D</t>
  </si>
  <si>
    <t>ROLL</t>
  </si>
  <si>
    <t>STUDENTS NAME</t>
  </si>
  <si>
    <t>Beng</t>
  </si>
  <si>
    <t>Eng</t>
  </si>
  <si>
    <t>Math</t>
  </si>
  <si>
    <t>Sc.</t>
  </si>
  <si>
    <t>Hist</t>
  </si>
  <si>
    <t>Geo</t>
  </si>
  <si>
    <t>Remarks</t>
  </si>
  <si>
    <t xml:space="preserve">Grade </t>
  </si>
  <si>
    <t>Rank</t>
  </si>
  <si>
    <t>Roll</t>
  </si>
  <si>
    <t>Rahim</t>
  </si>
  <si>
    <t>Karim</t>
  </si>
  <si>
    <t>Salma</t>
  </si>
  <si>
    <t>Amina</t>
  </si>
  <si>
    <t>Hasan</t>
  </si>
  <si>
    <t>Rupa</t>
  </si>
  <si>
    <t>Imran</t>
  </si>
  <si>
    <t>Sajid</t>
  </si>
  <si>
    <t>rupa</t>
  </si>
  <si>
    <t>A+</t>
  </si>
  <si>
    <t>Total Sale</t>
  </si>
  <si>
    <t>MOBILE</t>
  </si>
  <si>
    <t>DISTRICT</t>
  </si>
  <si>
    <t>Code</t>
  </si>
  <si>
    <t>VLOOKUP</t>
  </si>
  <si>
    <t>HLOOKUP</t>
  </si>
  <si>
    <t>XLOOKUP</t>
  </si>
  <si>
    <t>TOTAL</t>
  </si>
  <si>
    <t>AY525</t>
  </si>
  <si>
    <t>Price</t>
  </si>
  <si>
    <t>JK526</t>
  </si>
  <si>
    <t>PO527</t>
  </si>
  <si>
    <t>MN528</t>
  </si>
  <si>
    <t>AT528</t>
  </si>
  <si>
    <t>JK529</t>
  </si>
  <si>
    <t>SY529</t>
  </si>
  <si>
    <t>PK530</t>
  </si>
  <si>
    <t>NO530</t>
  </si>
  <si>
    <t>BTH526</t>
  </si>
  <si>
    <t>PT527</t>
  </si>
  <si>
    <t>PT5</t>
  </si>
  <si>
    <t>)</t>
  </si>
  <si>
    <t>INDEX</t>
  </si>
  <si>
    <t>MATCH</t>
  </si>
  <si>
    <t>CHOOSE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</si>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</sst>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rgb="FFFFFF00"/>
      <name val="Calibri"/>
      <family val="2"/>
      <scheme val="minor"/>
    </font>
    <font>
      <sz val="20"/>
      <color rgb="FF002060"/>
      <name val="Calibri"/>
      <family val="2"/>
      <scheme val="minor"/>
    </font>
    <font>
      <b/>
      <sz val="15"/>
      <color rgb="FF7030A0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5"/>
      <color rgb="FFFFFF00"/>
      <name val="Calibri"/>
      <family val="2"/>
      <scheme val="minor"/>
    </font>
    <font>
      <b/>
      <sz val="16"/>
      <color rgb="FF7030A0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8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8"/>
      <color rgb="FFFFFF0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20"/>
      <color rgb="FFFFFF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7499923703726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4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0" fontId="7" fillId="5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3" fillId="0" borderId="0" xfId="0" applyFont="1"/>
    <xf numFmtId="0" fontId="1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15" fillId="10" borderId="3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/>
    </xf>
    <xf numFmtId="0" fontId="4" fillId="0" borderId="1" xfId="0" applyFont="1" applyBorder="1"/>
    <xf numFmtId="0" fontId="18" fillId="11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/>
    </xf>
    <xf numFmtId="0" fontId="20" fillId="4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18" fillId="11" borderId="3" xfId="0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3BDA-334A-4107-9662-11D70F6256A2}">
  <dimension ref="A1:K15"/>
  <sheetViews>
    <sheetView tabSelected="1" zoomScale="140" zoomScaleNormal="140" workbookViewId="0">
      <selection activeCell="B15" sqref="B15:F15"/>
    </sheetView>
  </sheetViews>
  <sheetFormatPr defaultRowHeight="15" x14ac:dyDescent="0.25"/>
  <cols>
    <col min="1" max="1" width="22.140625" customWidth="1"/>
    <col min="2" max="2" width="10.5703125" customWidth="1"/>
    <col min="3" max="4" width="9.28515625" customWidth="1"/>
    <col min="5" max="5" width="11.28515625" customWidth="1"/>
    <col min="6" max="6" width="14.85546875" customWidth="1"/>
    <col min="7" max="7" width="15" customWidth="1"/>
    <col min="8" max="8" width="17.5703125" customWidth="1"/>
    <col min="10" max="10" width="11.42578125" customWidth="1"/>
    <col min="11" max="11" width="16.85546875" customWidth="1"/>
  </cols>
  <sheetData>
    <row r="1" spans="1:11" ht="30" customHeight="1" x14ac:dyDescent="0.4">
      <c r="A1" s="5" t="s">
        <v>15</v>
      </c>
      <c r="B1" s="32" t="s">
        <v>16</v>
      </c>
      <c r="C1" s="33"/>
      <c r="D1" s="6"/>
      <c r="E1" s="34" t="s">
        <v>57</v>
      </c>
      <c r="F1" s="34"/>
    </row>
    <row r="2" spans="1:11" ht="21.95" customHeight="1" x14ac:dyDescent="0.25">
      <c r="A2" s="7" t="s">
        <v>14</v>
      </c>
      <c r="B2" s="8" t="s">
        <v>12</v>
      </c>
      <c r="C2" s="8" t="s">
        <v>1</v>
      </c>
      <c r="D2" s="8" t="s">
        <v>2</v>
      </c>
      <c r="E2" s="8" t="s">
        <v>3</v>
      </c>
      <c r="F2" s="8" t="s">
        <v>13</v>
      </c>
      <c r="G2" s="2" t="s">
        <v>0</v>
      </c>
      <c r="H2" s="2" t="s">
        <v>19</v>
      </c>
      <c r="J2" s="12" t="s">
        <v>0</v>
      </c>
      <c r="K2" s="12" t="s">
        <v>19</v>
      </c>
    </row>
    <row r="3" spans="1:11" ht="18" customHeight="1" x14ac:dyDescent="0.25">
      <c r="A3" s="9" t="s">
        <v>4</v>
      </c>
      <c r="B3" s="10">
        <v>4552</v>
      </c>
      <c r="C3" s="10">
        <v>3645</v>
      </c>
      <c r="D3" s="10">
        <v>3979</v>
      </c>
      <c r="E3" s="10">
        <v>4779</v>
      </c>
      <c r="F3" s="10">
        <v>2376</v>
      </c>
      <c r="G3" s="4">
        <f>SUM(B3:F3)</f>
        <v>19331</v>
      </c>
      <c r="H3" s="4" t="str">
        <f>VLOOKUP(G3,$J$2:$K$6,2,TRUE)</f>
        <v>Very Good</v>
      </c>
      <c r="J3" s="4">
        <v>15000</v>
      </c>
      <c r="K3" s="4" t="s">
        <v>23</v>
      </c>
    </row>
    <row r="4" spans="1:11" ht="18" customHeight="1" x14ac:dyDescent="0.25">
      <c r="A4" s="9" t="s">
        <v>5</v>
      </c>
      <c r="B4" s="10">
        <v>4895</v>
      </c>
      <c r="C4" s="10">
        <v>4118</v>
      </c>
      <c r="D4" s="10">
        <v>4525</v>
      </c>
      <c r="E4" s="10">
        <v>4511</v>
      </c>
      <c r="F4" s="10">
        <v>2847</v>
      </c>
      <c r="G4" s="4">
        <f t="shared" ref="G4:G12" si="0">SUM(B4:F4)</f>
        <v>20896</v>
      </c>
      <c r="H4" s="4" t="str">
        <f t="shared" ref="H4:H12" si="1">VLOOKUP(G4,$J$2:$K$6,2,TRUE)</f>
        <v>Excellent</v>
      </c>
      <c r="J4" s="4">
        <v>16000</v>
      </c>
      <c r="K4" s="4" t="s">
        <v>20</v>
      </c>
    </row>
    <row r="5" spans="1:11" ht="18" customHeight="1" x14ac:dyDescent="0.25">
      <c r="A5" s="9" t="s">
        <v>17</v>
      </c>
      <c r="B5" s="10">
        <v>4236</v>
      </c>
      <c r="C5" s="10">
        <v>3769</v>
      </c>
      <c r="D5" s="10">
        <v>3028</v>
      </c>
      <c r="E5" s="10">
        <v>3051</v>
      </c>
      <c r="F5" s="10">
        <v>3771</v>
      </c>
      <c r="G5" s="4">
        <f t="shared" si="0"/>
        <v>17855</v>
      </c>
      <c r="H5" s="4" t="str">
        <f t="shared" si="1"/>
        <v>Good</v>
      </c>
      <c r="J5" s="4">
        <v>18000</v>
      </c>
      <c r="K5" s="4" t="s">
        <v>21</v>
      </c>
    </row>
    <row r="6" spans="1:11" ht="18" customHeight="1" x14ac:dyDescent="0.25">
      <c r="A6" s="9" t="s">
        <v>6</v>
      </c>
      <c r="B6" s="10">
        <v>3227</v>
      </c>
      <c r="C6" s="10">
        <v>2675</v>
      </c>
      <c r="D6" s="10">
        <v>4795</v>
      </c>
      <c r="E6" s="10">
        <v>2785</v>
      </c>
      <c r="F6" s="10">
        <v>3214</v>
      </c>
      <c r="G6" s="4">
        <f t="shared" si="0"/>
        <v>16696</v>
      </c>
      <c r="H6" s="4" t="str">
        <f t="shared" si="1"/>
        <v>Good</v>
      </c>
      <c r="J6" s="4">
        <v>20000</v>
      </c>
      <c r="K6" s="4" t="s">
        <v>22</v>
      </c>
    </row>
    <row r="7" spans="1:11" ht="18" customHeight="1" x14ac:dyDescent="0.25">
      <c r="A7" s="9" t="s">
        <v>18</v>
      </c>
      <c r="B7" s="10">
        <v>4790</v>
      </c>
      <c r="C7" s="10">
        <v>2615</v>
      </c>
      <c r="D7" s="10">
        <v>2640</v>
      </c>
      <c r="E7" s="10">
        <v>4484</v>
      </c>
      <c r="F7" s="10">
        <v>4384</v>
      </c>
      <c r="G7" s="4">
        <f t="shared" si="0"/>
        <v>18913</v>
      </c>
      <c r="H7" s="4" t="str">
        <f t="shared" si="1"/>
        <v>Very Good</v>
      </c>
    </row>
    <row r="8" spans="1:11" ht="18" customHeight="1" x14ac:dyDescent="0.25">
      <c r="A8" s="9" t="s">
        <v>7</v>
      </c>
      <c r="B8" s="10">
        <v>2449</v>
      </c>
      <c r="C8" s="10">
        <v>4377</v>
      </c>
      <c r="D8" s="10">
        <v>3194</v>
      </c>
      <c r="E8" s="10">
        <v>3319</v>
      </c>
      <c r="F8" s="10">
        <v>2389</v>
      </c>
      <c r="G8" s="4">
        <f t="shared" si="0"/>
        <v>15728</v>
      </c>
      <c r="H8" s="4" t="str">
        <f t="shared" si="1"/>
        <v>Bad</v>
      </c>
    </row>
    <row r="9" spans="1:11" ht="18" customHeight="1" x14ac:dyDescent="0.25">
      <c r="A9" s="9" t="s">
        <v>8</v>
      </c>
      <c r="B9" s="10">
        <v>2509</v>
      </c>
      <c r="C9" s="10">
        <v>3664</v>
      </c>
      <c r="D9" s="10">
        <v>4106</v>
      </c>
      <c r="E9" s="10">
        <v>2846</v>
      </c>
      <c r="F9" s="10">
        <v>3428</v>
      </c>
      <c r="G9" s="4">
        <f t="shared" si="0"/>
        <v>16553</v>
      </c>
      <c r="H9" s="4" t="str">
        <f t="shared" si="1"/>
        <v>Good</v>
      </c>
    </row>
    <row r="10" spans="1:11" ht="18" customHeight="1" x14ac:dyDescent="0.25">
      <c r="A10" s="9" t="s">
        <v>9</v>
      </c>
      <c r="B10" s="10">
        <v>3019</v>
      </c>
      <c r="C10" s="10">
        <v>4284</v>
      </c>
      <c r="D10" s="10">
        <v>2182</v>
      </c>
      <c r="E10" s="10">
        <v>3974</v>
      </c>
      <c r="F10" s="10">
        <v>2446</v>
      </c>
      <c r="G10" s="4">
        <f t="shared" si="0"/>
        <v>15905</v>
      </c>
      <c r="H10" s="4" t="str">
        <f t="shared" si="1"/>
        <v>Bad</v>
      </c>
    </row>
    <row r="11" spans="1:11" ht="18" customHeight="1" x14ac:dyDescent="0.25">
      <c r="A11" s="9" t="s">
        <v>10</v>
      </c>
      <c r="B11" s="10">
        <v>2521</v>
      </c>
      <c r="C11" s="10">
        <v>4143</v>
      </c>
      <c r="D11" s="10">
        <v>4899</v>
      </c>
      <c r="E11" s="10">
        <v>3011</v>
      </c>
      <c r="F11" s="10">
        <v>2410</v>
      </c>
      <c r="G11" s="4">
        <f t="shared" si="0"/>
        <v>16984</v>
      </c>
      <c r="H11" s="4" t="str">
        <f t="shared" si="1"/>
        <v>Good</v>
      </c>
    </row>
    <row r="12" spans="1:11" ht="18" customHeight="1" x14ac:dyDescent="0.25">
      <c r="A12" s="9" t="s">
        <v>11</v>
      </c>
      <c r="B12" s="10">
        <v>4105</v>
      </c>
      <c r="C12" s="10">
        <v>3564</v>
      </c>
      <c r="D12" s="10">
        <v>4394</v>
      </c>
      <c r="E12" s="10">
        <v>3019</v>
      </c>
      <c r="F12" s="10">
        <v>4670</v>
      </c>
      <c r="G12" s="4">
        <f t="shared" si="0"/>
        <v>19752</v>
      </c>
      <c r="H12" s="4" t="str">
        <f t="shared" si="1"/>
        <v>Very Good</v>
      </c>
    </row>
    <row r="13" spans="1:11" ht="13.5" customHeight="1" x14ac:dyDescent="0.25"/>
    <row r="14" spans="1:11" ht="19.5" x14ac:dyDescent="0.25">
      <c r="A14" s="7" t="s">
        <v>14</v>
      </c>
      <c r="B14" s="8" t="s">
        <v>12</v>
      </c>
      <c r="C14" s="8" t="s">
        <v>1</v>
      </c>
      <c r="D14" s="8" t="s">
        <v>2</v>
      </c>
      <c r="E14" s="8" t="s">
        <v>3</v>
      </c>
      <c r="F14" s="7" t="s">
        <v>13</v>
      </c>
      <c r="G14" s="7" t="s">
        <v>60</v>
      </c>
    </row>
    <row r="15" spans="1:11" ht="23.25" customHeight="1" x14ac:dyDescent="0.25">
      <c r="A15" s="9" t="s">
        <v>18</v>
      </c>
      <c r="B15" s="10">
        <f>VLOOKUP(A15,A2:$F$12,2,0)</f>
        <v>4790</v>
      </c>
      <c r="C15" s="10">
        <f>VLOOKUP(B15,B2:$F$12,2,0)</f>
        <v>2615</v>
      </c>
      <c r="D15" s="10">
        <f>VLOOKUP(C15,C2:$F$12,2,0)</f>
        <v>2640</v>
      </c>
      <c r="E15" s="10">
        <f>VLOOKUP(D15,D2:$F$12,2,0)</f>
        <v>4484</v>
      </c>
      <c r="F15" s="10">
        <f>VLOOKUP(E15,E2:$F$12,2,0)</f>
        <v>4384</v>
      </c>
      <c r="G15" s="10">
        <f>VLOOKUP(F15,F2:$G$12,2,0)</f>
        <v>18913</v>
      </c>
    </row>
  </sheetData>
  <mergeCells count="2">
    <mergeCell ref="B1:C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3B8A-E725-4DDE-8AA3-CF026B648827}">
  <dimension ref="A1:K20"/>
  <sheetViews>
    <sheetView zoomScale="130" zoomScaleNormal="130" workbookViewId="0">
      <selection activeCell="E16" sqref="E16"/>
    </sheetView>
  </sheetViews>
  <sheetFormatPr defaultRowHeight="15" x14ac:dyDescent="0.25"/>
  <cols>
    <col min="1" max="1" width="22.140625" customWidth="1"/>
    <col min="2" max="2" width="13.42578125" customWidth="1"/>
    <col min="3" max="3" width="12.42578125" customWidth="1"/>
    <col min="4" max="4" width="13.42578125" customWidth="1"/>
    <col min="5" max="5" width="15.140625" customWidth="1"/>
    <col min="6" max="6" width="14.85546875" customWidth="1"/>
    <col min="7" max="7" width="15" customWidth="1"/>
    <col min="8" max="8" width="17.5703125" customWidth="1"/>
    <col min="10" max="10" width="11.42578125" customWidth="1"/>
    <col min="11" max="11" width="16.85546875" customWidth="1"/>
  </cols>
  <sheetData>
    <row r="1" spans="1:11" ht="30" customHeight="1" x14ac:dyDescent="0.4">
      <c r="A1" s="5" t="s">
        <v>15</v>
      </c>
      <c r="B1" s="32" t="s">
        <v>16</v>
      </c>
      <c r="C1" s="33"/>
      <c r="D1" s="6"/>
      <c r="E1" s="34" t="s">
        <v>58</v>
      </c>
      <c r="F1" s="34"/>
    </row>
    <row r="2" spans="1:11" ht="21.95" customHeight="1" x14ac:dyDescent="0.25">
      <c r="A2" s="7" t="s">
        <v>14</v>
      </c>
      <c r="B2" s="8" t="s">
        <v>12</v>
      </c>
      <c r="C2" s="8" t="s">
        <v>1</v>
      </c>
      <c r="D2" s="8" t="s">
        <v>2</v>
      </c>
      <c r="E2" s="8" t="s">
        <v>3</v>
      </c>
      <c r="F2" s="8" t="s">
        <v>13</v>
      </c>
      <c r="G2" s="2" t="s">
        <v>0</v>
      </c>
      <c r="H2" s="2" t="s">
        <v>19</v>
      </c>
      <c r="J2" s="12" t="s">
        <v>0</v>
      </c>
      <c r="K2" s="12" t="s">
        <v>19</v>
      </c>
    </row>
    <row r="3" spans="1:11" ht="18" customHeight="1" x14ac:dyDescent="0.25">
      <c r="A3" s="9" t="s">
        <v>4</v>
      </c>
      <c r="B3" s="10">
        <v>4552</v>
      </c>
      <c r="C3" s="10">
        <v>3645</v>
      </c>
      <c r="D3" s="10">
        <v>3979</v>
      </c>
      <c r="E3" s="10">
        <v>4779</v>
      </c>
      <c r="F3" s="10">
        <v>2376</v>
      </c>
      <c r="G3" s="4">
        <f>SUM(B3:F3)</f>
        <v>19331</v>
      </c>
      <c r="H3" s="4"/>
      <c r="J3" s="4">
        <v>15000</v>
      </c>
      <c r="K3" s="4" t="s">
        <v>23</v>
      </c>
    </row>
    <row r="4" spans="1:11" ht="18" customHeight="1" x14ac:dyDescent="0.25">
      <c r="A4" s="9" t="s">
        <v>5</v>
      </c>
      <c r="B4" s="10">
        <v>4895</v>
      </c>
      <c r="C4" s="10">
        <v>4118</v>
      </c>
      <c r="D4" s="10">
        <v>4525</v>
      </c>
      <c r="E4" s="10">
        <v>4511</v>
      </c>
      <c r="F4" s="10">
        <v>2847</v>
      </c>
      <c r="G4" s="4">
        <f t="shared" ref="G4:G12" si="0">SUM(B4:F4)</f>
        <v>20896</v>
      </c>
      <c r="H4" s="4"/>
      <c r="J4" s="4">
        <v>16000</v>
      </c>
      <c r="K4" s="4" t="s">
        <v>20</v>
      </c>
    </row>
    <row r="5" spans="1:11" ht="18" customHeight="1" x14ac:dyDescent="0.25">
      <c r="A5" s="9" t="s">
        <v>17</v>
      </c>
      <c r="B5" s="10">
        <v>4236</v>
      </c>
      <c r="C5" s="10">
        <v>3769</v>
      </c>
      <c r="D5" s="10">
        <v>3028</v>
      </c>
      <c r="E5" s="10">
        <v>3051</v>
      </c>
      <c r="F5" s="10">
        <v>3771</v>
      </c>
      <c r="G5" s="4">
        <f t="shared" si="0"/>
        <v>17855</v>
      </c>
      <c r="H5" s="4"/>
      <c r="J5" s="4">
        <v>18000</v>
      </c>
      <c r="K5" s="4" t="s">
        <v>21</v>
      </c>
    </row>
    <row r="6" spans="1:11" ht="18" customHeight="1" x14ac:dyDescent="0.25">
      <c r="A6" s="9" t="s">
        <v>6</v>
      </c>
      <c r="B6" s="10">
        <v>3227</v>
      </c>
      <c r="C6" s="10">
        <v>2675</v>
      </c>
      <c r="D6" s="10">
        <v>4795</v>
      </c>
      <c r="E6" s="10">
        <v>2785</v>
      </c>
      <c r="F6" s="10">
        <v>3214</v>
      </c>
      <c r="G6" s="4">
        <f t="shared" si="0"/>
        <v>16696</v>
      </c>
      <c r="H6" s="4"/>
      <c r="J6" s="4">
        <v>20000</v>
      </c>
      <c r="K6" s="4" t="s">
        <v>22</v>
      </c>
    </row>
    <row r="7" spans="1:11" ht="18" customHeight="1" x14ac:dyDescent="0.25">
      <c r="A7" s="9" t="s">
        <v>18</v>
      </c>
      <c r="B7" s="10">
        <v>4790</v>
      </c>
      <c r="C7" s="10">
        <v>2615</v>
      </c>
      <c r="D7" s="10">
        <v>2640</v>
      </c>
      <c r="E7" s="10">
        <v>4484</v>
      </c>
      <c r="F7" s="10">
        <v>4384</v>
      </c>
      <c r="G7" s="4">
        <f t="shared" si="0"/>
        <v>18913</v>
      </c>
      <c r="H7" s="4"/>
    </row>
    <row r="8" spans="1:11" ht="18" customHeight="1" x14ac:dyDescent="0.25">
      <c r="A8" s="9" t="s">
        <v>7</v>
      </c>
      <c r="B8" s="10">
        <v>2449</v>
      </c>
      <c r="C8" s="10">
        <v>4377</v>
      </c>
      <c r="D8" s="10">
        <v>3194</v>
      </c>
      <c r="E8" s="10">
        <v>3319</v>
      </c>
      <c r="F8" s="10">
        <v>2389</v>
      </c>
      <c r="G8" s="4">
        <f t="shared" si="0"/>
        <v>15728</v>
      </c>
      <c r="H8" s="4"/>
    </row>
    <row r="9" spans="1:11" ht="18" customHeight="1" x14ac:dyDescent="0.25">
      <c r="A9" s="9" t="s">
        <v>8</v>
      </c>
      <c r="B9" s="10">
        <v>2509</v>
      </c>
      <c r="C9" s="10">
        <v>3664</v>
      </c>
      <c r="D9" s="10">
        <v>4106</v>
      </c>
      <c r="E9" s="10">
        <v>2846</v>
      </c>
      <c r="F9" s="10">
        <v>3428</v>
      </c>
      <c r="G9" s="4">
        <f t="shared" si="0"/>
        <v>16553</v>
      </c>
      <c r="H9" s="4"/>
      <c r="K9" s="13" t="s">
        <v>24</v>
      </c>
    </row>
    <row r="10" spans="1:11" ht="18" customHeight="1" x14ac:dyDescent="0.25">
      <c r="A10" s="9" t="s">
        <v>9</v>
      </c>
      <c r="B10" s="10">
        <v>3019</v>
      </c>
      <c r="C10" s="10">
        <v>4284</v>
      </c>
      <c r="D10" s="10">
        <v>2182</v>
      </c>
      <c r="E10" s="10">
        <v>3974</v>
      </c>
      <c r="F10" s="10">
        <v>2446</v>
      </c>
      <c r="G10" s="4">
        <f t="shared" si="0"/>
        <v>15905</v>
      </c>
      <c r="H10" s="4"/>
    </row>
    <row r="11" spans="1:11" ht="18" customHeight="1" x14ac:dyDescent="0.25">
      <c r="A11" s="9" t="s">
        <v>10</v>
      </c>
      <c r="B11" s="10">
        <v>2521</v>
      </c>
      <c r="C11" s="10">
        <v>4143</v>
      </c>
      <c r="D11" s="10">
        <v>4899</v>
      </c>
      <c r="E11" s="10">
        <v>3011</v>
      </c>
      <c r="F11" s="10">
        <v>2410</v>
      </c>
      <c r="G11" s="4">
        <f t="shared" si="0"/>
        <v>16984</v>
      </c>
      <c r="H11" s="4"/>
    </row>
    <row r="12" spans="1:11" ht="18" customHeight="1" x14ac:dyDescent="0.25">
      <c r="A12" s="9" t="s">
        <v>11</v>
      </c>
      <c r="B12" s="10">
        <v>4105</v>
      </c>
      <c r="C12" s="10">
        <v>3564</v>
      </c>
      <c r="D12" s="10">
        <v>4394</v>
      </c>
      <c r="E12" s="10">
        <v>3019</v>
      </c>
      <c r="F12" s="10">
        <v>4670</v>
      </c>
      <c r="G12" s="4">
        <f t="shared" si="0"/>
        <v>19752</v>
      </c>
      <c r="H12" s="4"/>
    </row>
    <row r="13" spans="1:11" ht="18" customHeight="1" x14ac:dyDescent="0.25">
      <c r="A13" s="14"/>
      <c r="B13" s="15"/>
      <c r="C13" s="15"/>
      <c r="D13" s="15"/>
      <c r="E13" s="15"/>
      <c r="F13" s="15"/>
      <c r="G13" s="13"/>
      <c r="H13" s="13"/>
    </row>
    <row r="14" spans="1:11" ht="33.75" customHeight="1" x14ac:dyDescent="0.25">
      <c r="A14" s="19" t="s">
        <v>25</v>
      </c>
      <c r="B14" s="19" t="s">
        <v>4</v>
      </c>
      <c r="C14" s="19" t="s">
        <v>5</v>
      </c>
      <c r="D14" s="19" t="s">
        <v>17</v>
      </c>
      <c r="E14" s="19" t="s">
        <v>10</v>
      </c>
      <c r="F14" s="19" t="s">
        <v>18</v>
      </c>
    </row>
    <row r="15" spans="1:11" ht="25.5" customHeight="1" x14ac:dyDescent="0.25">
      <c r="A15" s="7" t="s">
        <v>12</v>
      </c>
      <c r="B15" s="18">
        <f>HLOOKUP(A15,$A$2:$H$12,2,0)</f>
        <v>4552</v>
      </c>
      <c r="C15" s="18"/>
      <c r="D15" s="18"/>
      <c r="E15" s="18">
        <f>HLOOKUP(A15,$A$2:$H$12,10,)</f>
        <v>2521</v>
      </c>
      <c r="F15" s="18"/>
    </row>
    <row r="16" spans="1:11" ht="27" customHeight="1" x14ac:dyDescent="0.25">
      <c r="A16" s="7" t="s">
        <v>1</v>
      </c>
      <c r="B16" s="18">
        <f t="shared" ref="B16:B20" si="1">HLOOKUP(A16,$A$2:$H$12,2,0)</f>
        <v>3645</v>
      </c>
      <c r="C16" s="11"/>
      <c r="D16" s="11"/>
      <c r="E16" s="18">
        <f t="shared" ref="E16:E20" si="2">HLOOKUP(A16,$A$2:$H$12,10,0)</f>
        <v>4143</v>
      </c>
      <c r="F16" s="11"/>
    </row>
    <row r="17" spans="1:6" ht="28.5" customHeight="1" x14ac:dyDescent="0.25">
      <c r="A17" s="7" t="s">
        <v>2</v>
      </c>
      <c r="B17" s="18">
        <f t="shared" si="1"/>
        <v>3979</v>
      </c>
      <c r="C17" s="17"/>
      <c r="D17" s="17"/>
      <c r="E17" s="18">
        <f t="shared" si="2"/>
        <v>4899</v>
      </c>
      <c r="F17" s="17"/>
    </row>
    <row r="18" spans="1:6" ht="27.75" customHeight="1" x14ac:dyDescent="0.25">
      <c r="A18" s="7" t="s">
        <v>3</v>
      </c>
      <c r="B18" s="18">
        <f t="shared" si="1"/>
        <v>4779</v>
      </c>
      <c r="C18" s="17"/>
      <c r="D18" s="17"/>
      <c r="E18" s="18">
        <f t="shared" si="2"/>
        <v>3011</v>
      </c>
      <c r="F18" s="17"/>
    </row>
    <row r="19" spans="1:6" ht="24" customHeight="1" x14ac:dyDescent="0.25">
      <c r="A19" s="7" t="s">
        <v>13</v>
      </c>
      <c r="B19" s="18">
        <f t="shared" si="1"/>
        <v>2376</v>
      </c>
      <c r="C19" s="17"/>
      <c r="D19" s="17"/>
      <c r="E19" s="18">
        <f t="shared" si="2"/>
        <v>2410</v>
      </c>
      <c r="F19" s="17"/>
    </row>
    <row r="20" spans="1:6" ht="24" customHeight="1" x14ac:dyDescent="0.25">
      <c r="A20" s="7" t="s">
        <v>60</v>
      </c>
      <c r="B20" s="18">
        <f t="shared" si="1"/>
        <v>19331</v>
      </c>
      <c r="C20" s="17"/>
      <c r="D20" s="17"/>
      <c r="E20" s="18">
        <f t="shared" si="2"/>
        <v>16984</v>
      </c>
      <c r="F20" s="17"/>
    </row>
  </sheetData>
  <mergeCells count="2">
    <mergeCell ref="B1:C1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17ADD-2D94-45BE-857F-7896D049DE77}">
  <dimension ref="A1:M26"/>
  <sheetViews>
    <sheetView zoomScale="160" zoomScaleNormal="160" workbookViewId="0">
      <selection activeCell="B15" sqref="B15"/>
    </sheetView>
  </sheetViews>
  <sheetFormatPr defaultRowHeight="15" x14ac:dyDescent="0.25"/>
  <cols>
    <col min="1" max="1" width="22.140625" customWidth="1"/>
    <col min="2" max="2" width="11.5703125" customWidth="1"/>
    <col min="3" max="4" width="9.28515625" customWidth="1"/>
    <col min="5" max="5" width="11.28515625" customWidth="1"/>
    <col min="6" max="6" width="14.85546875" customWidth="1"/>
    <col min="7" max="7" width="4.5703125" customWidth="1"/>
    <col min="8" max="8" width="6.7109375" customWidth="1"/>
    <col min="9" max="9" width="12.28515625" customWidth="1"/>
    <col min="10" max="10" width="17.5703125" customWidth="1"/>
    <col min="12" max="12" width="11.42578125" customWidth="1"/>
    <col min="13" max="13" width="16.85546875" customWidth="1"/>
  </cols>
  <sheetData>
    <row r="1" spans="1:13" ht="30" customHeight="1" x14ac:dyDescent="0.4">
      <c r="A1" s="5" t="s">
        <v>15</v>
      </c>
      <c r="B1" s="32" t="s">
        <v>16</v>
      </c>
      <c r="C1" s="33"/>
      <c r="D1" s="6"/>
      <c r="E1" s="34" t="s">
        <v>59</v>
      </c>
      <c r="F1" s="34"/>
    </row>
    <row r="2" spans="1:13" ht="21.95" customHeight="1" x14ac:dyDescent="0.25">
      <c r="A2" s="7" t="s">
        <v>14</v>
      </c>
      <c r="B2" s="8" t="s">
        <v>12</v>
      </c>
      <c r="C2" s="8" t="s">
        <v>1</v>
      </c>
      <c r="D2" s="8" t="s">
        <v>2</v>
      </c>
      <c r="E2" s="8" t="s">
        <v>3</v>
      </c>
      <c r="F2" s="7" t="s">
        <v>13</v>
      </c>
      <c r="G2" s="20"/>
      <c r="H2" s="20"/>
      <c r="I2" s="2" t="s">
        <v>0</v>
      </c>
      <c r="J2" s="2" t="s">
        <v>19</v>
      </c>
      <c r="L2" s="12" t="s">
        <v>0</v>
      </c>
      <c r="M2" s="12" t="s">
        <v>28</v>
      </c>
    </row>
    <row r="3" spans="1:13" ht="18" customHeight="1" x14ac:dyDescent="0.25">
      <c r="A3" s="9" t="s">
        <v>4</v>
      </c>
      <c r="B3" s="10">
        <v>4552</v>
      </c>
      <c r="C3" s="10">
        <v>3645</v>
      </c>
      <c r="D3" s="10">
        <v>3979</v>
      </c>
      <c r="E3" s="10">
        <v>4779</v>
      </c>
      <c r="F3" s="11">
        <v>2376</v>
      </c>
      <c r="G3" s="16"/>
      <c r="H3" s="16"/>
      <c r="I3" s="4">
        <v>60</v>
      </c>
      <c r="J3" s="4" t="s">
        <v>74</v>
      </c>
      <c r="L3" s="4">
        <v>100</v>
      </c>
      <c r="M3" s="4" t="s">
        <v>52</v>
      </c>
    </row>
    <row r="4" spans="1:13" ht="18" customHeight="1" x14ac:dyDescent="0.25">
      <c r="A4" s="9" t="s">
        <v>5</v>
      </c>
      <c r="B4" s="10">
        <v>4895</v>
      </c>
      <c r="C4" s="10">
        <v>4118</v>
      </c>
      <c r="D4" s="10">
        <v>4525</v>
      </c>
      <c r="E4" s="10">
        <v>4511</v>
      </c>
      <c r="F4" s="11">
        <v>2847</v>
      </c>
      <c r="G4" s="16"/>
      <c r="H4" s="16"/>
      <c r="I4" s="4">
        <v>59</v>
      </c>
      <c r="J4" s="4" t="str">
        <f t="shared" ref="J4:J12" si="0">_xlfn.XLOOKUP(I4,$L$3:$L$7,$M$3:$M$7,"Not Found",1)</f>
        <v>B</v>
      </c>
      <c r="L4" s="4">
        <v>80</v>
      </c>
      <c r="M4" s="4" t="s">
        <v>26</v>
      </c>
    </row>
    <row r="5" spans="1:13" ht="18" customHeight="1" x14ac:dyDescent="0.25">
      <c r="A5" s="9" t="s">
        <v>17</v>
      </c>
      <c r="B5" s="10">
        <v>4236</v>
      </c>
      <c r="C5" s="10">
        <v>3769</v>
      </c>
      <c r="D5" s="10">
        <v>3028</v>
      </c>
      <c r="E5" s="10">
        <v>3051</v>
      </c>
      <c r="F5" s="11">
        <v>3771</v>
      </c>
      <c r="G5" s="16"/>
      <c r="H5" s="16"/>
      <c r="I5" s="4">
        <v>68</v>
      </c>
      <c r="J5" s="4" t="str">
        <f t="shared" si="0"/>
        <v>A</v>
      </c>
      <c r="L5" s="4">
        <v>60</v>
      </c>
      <c r="M5" s="4" t="s">
        <v>27</v>
      </c>
    </row>
    <row r="6" spans="1:13" ht="18" customHeight="1" x14ac:dyDescent="0.25">
      <c r="A6" s="9" t="s">
        <v>6</v>
      </c>
      <c r="B6" s="10">
        <v>3227</v>
      </c>
      <c r="C6" s="10">
        <v>2675</v>
      </c>
      <c r="D6" s="10">
        <v>4795</v>
      </c>
      <c r="E6" s="10">
        <v>2785</v>
      </c>
      <c r="F6" s="11">
        <v>3214</v>
      </c>
      <c r="G6" s="16"/>
      <c r="H6" s="16"/>
      <c r="I6" s="4">
        <v>40</v>
      </c>
      <c r="J6" s="4" t="str">
        <f t="shared" si="0"/>
        <v>C</v>
      </c>
      <c r="L6" s="4">
        <v>40</v>
      </c>
      <c r="M6" s="4" t="s">
        <v>29</v>
      </c>
    </row>
    <row r="7" spans="1:13" ht="18" customHeight="1" x14ac:dyDescent="0.25">
      <c r="A7" s="9" t="s">
        <v>18</v>
      </c>
      <c r="B7" s="10">
        <v>4790</v>
      </c>
      <c r="C7" s="10">
        <v>2615</v>
      </c>
      <c r="D7" s="10">
        <v>2640</v>
      </c>
      <c r="E7" s="10">
        <v>4484</v>
      </c>
      <c r="F7" s="11">
        <v>4384</v>
      </c>
      <c r="G7" s="16"/>
      <c r="H7" s="16"/>
      <c r="I7" s="4">
        <v>84</v>
      </c>
      <c r="J7" s="4" t="str">
        <f t="shared" si="0"/>
        <v>A+</v>
      </c>
      <c r="L7" s="4">
        <v>0</v>
      </c>
      <c r="M7" s="4" t="s">
        <v>30</v>
      </c>
    </row>
    <row r="8" spans="1:13" ht="18" customHeight="1" x14ac:dyDescent="0.25">
      <c r="A8" s="9" t="s">
        <v>7</v>
      </c>
      <c r="B8" s="10">
        <v>2449</v>
      </c>
      <c r="C8" s="10">
        <v>4377</v>
      </c>
      <c r="D8" s="10">
        <v>3194</v>
      </c>
      <c r="E8" s="10">
        <v>3319</v>
      </c>
      <c r="F8" s="11">
        <v>2389</v>
      </c>
      <c r="G8" s="16"/>
      <c r="H8" s="16"/>
      <c r="I8" s="4">
        <v>57</v>
      </c>
      <c r="J8" s="4" t="str">
        <f t="shared" si="0"/>
        <v>B</v>
      </c>
    </row>
    <row r="9" spans="1:13" ht="18" customHeight="1" x14ac:dyDescent="0.25">
      <c r="A9" s="9" t="s">
        <v>8</v>
      </c>
      <c r="B9" s="10">
        <v>2509</v>
      </c>
      <c r="C9" s="10">
        <v>3664</v>
      </c>
      <c r="D9" s="10">
        <v>4106</v>
      </c>
      <c r="E9" s="10">
        <v>2846</v>
      </c>
      <c r="F9" s="11">
        <v>3428</v>
      </c>
      <c r="G9" s="16"/>
      <c r="H9" s="16"/>
      <c r="I9" s="4">
        <v>40</v>
      </c>
      <c r="J9" s="4" t="str">
        <f t="shared" si="0"/>
        <v>C</v>
      </c>
    </row>
    <row r="10" spans="1:13" ht="18" customHeight="1" x14ac:dyDescent="0.25">
      <c r="A10" s="9" t="s">
        <v>9</v>
      </c>
      <c r="B10" s="10">
        <v>3019</v>
      </c>
      <c r="C10" s="10">
        <v>4284</v>
      </c>
      <c r="D10" s="10">
        <v>2182</v>
      </c>
      <c r="E10" s="10">
        <v>3974</v>
      </c>
      <c r="F10" s="11">
        <v>2446</v>
      </c>
      <c r="G10" s="16"/>
      <c r="H10" s="16"/>
      <c r="I10" s="4">
        <v>69</v>
      </c>
      <c r="J10" s="4" t="str">
        <f t="shared" si="0"/>
        <v>A</v>
      </c>
    </row>
    <row r="11" spans="1:13" ht="18" customHeight="1" x14ac:dyDescent="0.25">
      <c r="A11" s="9" t="s">
        <v>4</v>
      </c>
      <c r="B11" s="10">
        <v>2521</v>
      </c>
      <c r="C11" s="10">
        <v>4143</v>
      </c>
      <c r="D11" s="10">
        <v>4899</v>
      </c>
      <c r="E11" s="10">
        <v>3011</v>
      </c>
      <c r="F11" s="11">
        <v>2410</v>
      </c>
      <c r="G11" s="16"/>
      <c r="H11" s="16"/>
      <c r="I11" s="4">
        <v>30</v>
      </c>
      <c r="J11" s="4" t="str">
        <f t="shared" si="0"/>
        <v>C</v>
      </c>
    </row>
    <row r="12" spans="1:13" ht="18" customHeight="1" x14ac:dyDescent="0.25">
      <c r="A12" s="9" t="s">
        <v>11</v>
      </c>
      <c r="B12" s="10">
        <v>4105</v>
      </c>
      <c r="C12" s="10">
        <v>3564</v>
      </c>
      <c r="D12" s="10">
        <v>4394</v>
      </c>
      <c r="E12" s="10">
        <v>3019</v>
      </c>
      <c r="F12" s="11">
        <v>4670</v>
      </c>
      <c r="G12" s="16"/>
      <c r="H12" s="16"/>
      <c r="I12" s="4">
        <v>92</v>
      </c>
      <c r="J12" s="4" t="str">
        <f t="shared" si="0"/>
        <v>A+</v>
      </c>
    </row>
    <row r="13" spans="1:13" ht="13.5" customHeight="1" x14ac:dyDescent="0.25">
      <c r="I13" s="21"/>
    </row>
    <row r="14" spans="1:13" ht="19.5" x14ac:dyDescent="0.25">
      <c r="A14" s="7" t="s">
        <v>14</v>
      </c>
      <c r="B14" s="8" t="s">
        <v>12</v>
      </c>
      <c r="C14" s="8" t="s">
        <v>1</v>
      </c>
      <c r="D14" s="8" t="s">
        <v>2</v>
      </c>
      <c r="E14" s="8" t="s">
        <v>3</v>
      </c>
      <c r="F14" s="7" t="s">
        <v>13</v>
      </c>
    </row>
    <row r="15" spans="1:13" ht="23.25" customHeight="1" x14ac:dyDescent="0.4">
      <c r="A15" s="9" t="s">
        <v>4</v>
      </c>
      <c r="B15" s="10">
        <f>_xlfn.XLOOKUP(A15,A3:A12,B3:B12,,,)</f>
        <v>4552</v>
      </c>
      <c r="C15" s="10">
        <f t="shared" ref="C15:F15" si="1">_xlfn.XLOOKUP(B15,B3:B12,C3:C12)</f>
        <v>3645</v>
      </c>
      <c r="D15" s="10">
        <f t="shared" si="1"/>
        <v>3979</v>
      </c>
      <c r="E15" s="10">
        <f t="shared" si="1"/>
        <v>4779</v>
      </c>
      <c r="F15" s="10">
        <f t="shared" si="1"/>
        <v>2376</v>
      </c>
      <c r="I15" s="35" t="s">
        <v>56</v>
      </c>
      <c r="J15" s="36" t="s">
        <v>62</v>
      </c>
      <c r="L15" s="35" t="s">
        <v>56</v>
      </c>
      <c r="M15" s="36" t="s">
        <v>62</v>
      </c>
    </row>
    <row r="16" spans="1:13" ht="23.25" x14ac:dyDescent="0.35">
      <c r="B16">
        <v>2410</v>
      </c>
      <c r="C16" t="str">
        <f>_xlfn.XLOOKUP(B16,F3:F12,A3:A12)</f>
        <v>KOLKATA</v>
      </c>
      <c r="I16" s="24" t="s">
        <v>61</v>
      </c>
      <c r="J16" s="24">
        <v>5000</v>
      </c>
      <c r="L16" s="37" t="s">
        <v>73</v>
      </c>
      <c r="M16" s="37">
        <f>_xlfn.XLOOKUP(L16,I16:I26,J16:J26,,3)</f>
        <v>2500</v>
      </c>
    </row>
    <row r="17" spans="9:10" ht="21" x14ac:dyDescent="0.25">
      <c r="I17" s="24" t="s">
        <v>71</v>
      </c>
      <c r="J17" s="24">
        <v>4000</v>
      </c>
    </row>
    <row r="18" spans="9:10" ht="21" x14ac:dyDescent="0.25">
      <c r="I18" s="24" t="s">
        <v>63</v>
      </c>
      <c r="J18" s="24">
        <v>3000</v>
      </c>
    </row>
    <row r="19" spans="9:10" ht="21" x14ac:dyDescent="0.25">
      <c r="I19" s="24" t="s">
        <v>72</v>
      </c>
      <c r="J19" s="24">
        <v>2500</v>
      </c>
    </row>
    <row r="20" spans="9:10" ht="21" x14ac:dyDescent="0.25">
      <c r="I20" s="24" t="s">
        <v>64</v>
      </c>
      <c r="J20" s="24">
        <v>3000</v>
      </c>
    </row>
    <row r="21" spans="9:10" ht="21" x14ac:dyDescent="0.25">
      <c r="I21" s="24" t="s">
        <v>65</v>
      </c>
      <c r="J21" s="24">
        <v>4000</v>
      </c>
    </row>
    <row r="22" spans="9:10" ht="21" x14ac:dyDescent="0.25">
      <c r="I22" s="24" t="s">
        <v>66</v>
      </c>
      <c r="J22" s="24">
        <v>6000</v>
      </c>
    </row>
    <row r="23" spans="9:10" ht="21" x14ac:dyDescent="0.25">
      <c r="I23" s="24" t="s">
        <v>67</v>
      </c>
      <c r="J23" s="24">
        <v>4000</v>
      </c>
    </row>
    <row r="24" spans="9:10" ht="21" x14ac:dyDescent="0.25">
      <c r="I24" s="24" t="s">
        <v>68</v>
      </c>
      <c r="J24" s="24">
        <v>5000</v>
      </c>
    </row>
    <row r="25" spans="9:10" ht="21" x14ac:dyDescent="0.25">
      <c r="I25" s="24" t="s">
        <v>69</v>
      </c>
      <c r="J25" s="24">
        <v>3500</v>
      </c>
    </row>
    <row r="26" spans="9:10" ht="21" x14ac:dyDescent="0.25">
      <c r="I26" s="24" t="s">
        <v>70</v>
      </c>
      <c r="J26" s="24">
        <v>6000</v>
      </c>
    </row>
  </sheetData>
  <mergeCells count="2">
    <mergeCell ref="B1:C1"/>
    <mergeCell ref="E1:F1"/>
  </mergeCells>
  <phoneticPr fontId="16" type="noConversion"/>
  <dataValidations count="1">
    <dataValidation type="list" allowBlank="1" showInputMessage="1" showErrorMessage="1" sqref="A15" xr:uid="{68BCFCA3-EEBE-41C6-A98F-45B95572F06A}">
      <formula1>$A$3:$A$12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DFA1-CE6A-492E-832D-9299CC496FA6}">
  <dimension ref="A1:M16"/>
  <sheetViews>
    <sheetView topLeftCell="B1" zoomScale="120" zoomScaleNormal="120" workbookViewId="0">
      <selection activeCell="G17" sqref="G17"/>
    </sheetView>
  </sheetViews>
  <sheetFormatPr defaultRowHeight="15" x14ac:dyDescent="0.25"/>
  <cols>
    <col min="1" max="2" width="7.5703125" customWidth="1"/>
    <col min="3" max="3" width="23.7109375" customWidth="1"/>
    <col min="4" max="4" width="9.28515625" bestFit="1" customWidth="1"/>
    <col min="5" max="9" width="9.28515625" customWidth="1"/>
    <col min="10" max="10" width="13.85546875" customWidth="1"/>
    <col min="11" max="11" width="13.7109375" customWidth="1"/>
    <col min="12" max="12" width="14.140625" customWidth="1"/>
    <col min="13" max="13" width="16.5703125" customWidth="1"/>
  </cols>
  <sheetData>
    <row r="1" spans="1:13" ht="21.95" customHeight="1" x14ac:dyDescent="0.25">
      <c r="A1" s="22" t="s">
        <v>31</v>
      </c>
      <c r="B1" s="22" t="s">
        <v>42</v>
      </c>
      <c r="C1" s="22" t="s">
        <v>32</v>
      </c>
      <c r="D1" s="23" t="s">
        <v>33</v>
      </c>
      <c r="E1" s="23" t="s">
        <v>34</v>
      </c>
      <c r="F1" s="23" t="s">
        <v>35</v>
      </c>
      <c r="G1" s="23" t="s">
        <v>36</v>
      </c>
      <c r="H1" s="23" t="s">
        <v>37</v>
      </c>
      <c r="I1" s="23" t="s">
        <v>38</v>
      </c>
      <c r="J1" s="1" t="s">
        <v>0</v>
      </c>
      <c r="K1" s="2" t="s">
        <v>39</v>
      </c>
      <c r="L1" s="2" t="s">
        <v>40</v>
      </c>
      <c r="M1" s="2" t="s">
        <v>41</v>
      </c>
    </row>
    <row r="2" spans="1:13" ht="21.95" customHeight="1" x14ac:dyDescent="0.45">
      <c r="A2" s="24">
        <v>1</v>
      </c>
      <c r="B2" s="24">
        <v>101</v>
      </c>
      <c r="C2" s="26" t="s">
        <v>43</v>
      </c>
      <c r="D2" s="3">
        <v>21</v>
      </c>
      <c r="E2" s="3">
        <v>93</v>
      </c>
      <c r="F2" s="3">
        <v>58</v>
      </c>
      <c r="G2" s="3">
        <v>44</v>
      </c>
      <c r="H2" s="3">
        <v>40</v>
      </c>
      <c r="I2" s="3">
        <v>68</v>
      </c>
      <c r="J2" s="3">
        <f>SUM(D2:I2)</f>
        <v>324</v>
      </c>
      <c r="K2" s="4" t="str">
        <f t="shared" ref="K2:K11" si="0">IF(D2&gt;=50,"Pass","Fail")</f>
        <v>Fail</v>
      </c>
      <c r="L2" s="4" t="str">
        <f t="shared" ref="L2:L11" si="1">IF(D2&gt;=80,"A",IF(D2&gt;=60,"B",IF(D2&gt;=40,"C",IF(D2&lt;40,"D"))))</f>
        <v>D</v>
      </c>
      <c r="M2" s="25">
        <f t="shared" ref="M2:M11" si="2">RANK(J2,$J$2:$J$11,0)</f>
        <v>10</v>
      </c>
    </row>
    <row r="3" spans="1:13" ht="21.95" customHeight="1" x14ac:dyDescent="0.45">
      <c r="A3" s="24">
        <v>2</v>
      </c>
      <c r="B3" s="24">
        <v>102</v>
      </c>
      <c r="C3" s="26" t="s">
        <v>44</v>
      </c>
      <c r="D3" s="3">
        <v>74</v>
      </c>
      <c r="E3" s="3">
        <v>70</v>
      </c>
      <c r="F3" s="3">
        <v>83</v>
      </c>
      <c r="G3" s="3">
        <v>42</v>
      </c>
      <c r="H3" s="3">
        <v>53</v>
      </c>
      <c r="I3" s="3">
        <v>67</v>
      </c>
      <c r="J3" s="3">
        <f t="shared" ref="J3:J11" si="3">SUM(D3:I3)</f>
        <v>389</v>
      </c>
      <c r="K3" s="4" t="str">
        <f t="shared" si="0"/>
        <v>Pass</v>
      </c>
      <c r="L3" s="4" t="str">
        <f t="shared" si="1"/>
        <v>B</v>
      </c>
      <c r="M3" s="25">
        <f t="shared" si="2"/>
        <v>8</v>
      </c>
    </row>
    <row r="4" spans="1:13" ht="21.95" customHeight="1" x14ac:dyDescent="0.45">
      <c r="A4" s="24">
        <v>3</v>
      </c>
      <c r="B4" s="24">
        <v>103</v>
      </c>
      <c r="C4" s="26" t="s">
        <v>45</v>
      </c>
      <c r="D4" s="3">
        <v>78</v>
      </c>
      <c r="E4" s="3">
        <v>74</v>
      </c>
      <c r="F4" s="3">
        <v>78</v>
      </c>
      <c r="G4" s="3">
        <v>72</v>
      </c>
      <c r="H4" s="3">
        <v>45</v>
      </c>
      <c r="I4" s="3">
        <v>81</v>
      </c>
      <c r="J4" s="3">
        <f t="shared" si="3"/>
        <v>428</v>
      </c>
      <c r="K4" s="4" t="str">
        <f t="shared" si="0"/>
        <v>Pass</v>
      </c>
      <c r="L4" s="4" t="str">
        <f t="shared" si="1"/>
        <v>B</v>
      </c>
      <c r="M4" s="25">
        <f t="shared" si="2"/>
        <v>3</v>
      </c>
    </row>
    <row r="5" spans="1:13" ht="21.95" customHeight="1" x14ac:dyDescent="0.45">
      <c r="A5" s="24">
        <v>4</v>
      </c>
      <c r="B5" s="24">
        <v>104</v>
      </c>
      <c r="C5" s="26" t="s">
        <v>46</v>
      </c>
      <c r="D5" s="3">
        <v>35</v>
      </c>
      <c r="E5" s="3">
        <v>85</v>
      </c>
      <c r="F5" s="3">
        <v>60</v>
      </c>
      <c r="G5" s="3">
        <v>82</v>
      </c>
      <c r="H5" s="3">
        <v>45</v>
      </c>
      <c r="I5" s="3">
        <v>53</v>
      </c>
      <c r="J5" s="3">
        <f t="shared" si="3"/>
        <v>360</v>
      </c>
      <c r="K5" s="4" t="str">
        <f t="shared" si="0"/>
        <v>Fail</v>
      </c>
      <c r="L5" s="4" t="str">
        <f t="shared" si="1"/>
        <v>D</v>
      </c>
      <c r="M5" s="25">
        <f t="shared" si="2"/>
        <v>9</v>
      </c>
    </row>
    <row r="6" spans="1:13" ht="21.95" customHeight="1" x14ac:dyDescent="0.45">
      <c r="A6" s="24">
        <v>5</v>
      </c>
      <c r="B6" s="24">
        <v>105</v>
      </c>
      <c r="C6" s="26" t="s">
        <v>47</v>
      </c>
      <c r="D6" s="3">
        <v>100</v>
      </c>
      <c r="E6" s="3">
        <v>80</v>
      </c>
      <c r="F6" s="3">
        <v>85</v>
      </c>
      <c r="G6" s="3">
        <v>41</v>
      </c>
      <c r="H6" s="3">
        <v>60</v>
      </c>
      <c r="I6" s="3">
        <v>89</v>
      </c>
      <c r="J6" s="3">
        <f t="shared" si="3"/>
        <v>455</v>
      </c>
      <c r="K6" s="4" t="str">
        <f t="shared" si="0"/>
        <v>Pass</v>
      </c>
      <c r="L6" s="4" t="str">
        <f t="shared" si="1"/>
        <v>A</v>
      </c>
      <c r="M6" s="25">
        <f t="shared" si="2"/>
        <v>1</v>
      </c>
    </row>
    <row r="7" spans="1:13" ht="21.95" customHeight="1" x14ac:dyDescent="0.45">
      <c r="A7" s="24">
        <v>6</v>
      </c>
      <c r="B7" s="24">
        <v>106</v>
      </c>
      <c r="C7" s="26" t="s">
        <v>48</v>
      </c>
      <c r="D7" s="3">
        <v>41</v>
      </c>
      <c r="E7" s="3">
        <v>48</v>
      </c>
      <c r="F7" s="3">
        <v>100</v>
      </c>
      <c r="G7" s="3">
        <v>54</v>
      </c>
      <c r="H7" s="3">
        <v>62</v>
      </c>
      <c r="I7" s="3">
        <v>99</v>
      </c>
      <c r="J7" s="3">
        <f t="shared" si="3"/>
        <v>404</v>
      </c>
      <c r="K7" s="4" t="str">
        <f t="shared" si="0"/>
        <v>Fail</v>
      </c>
      <c r="L7" s="4" t="str">
        <f t="shared" si="1"/>
        <v>C</v>
      </c>
      <c r="M7" s="25">
        <f t="shared" si="2"/>
        <v>5</v>
      </c>
    </row>
    <row r="8" spans="1:13" ht="21.95" customHeight="1" x14ac:dyDescent="0.45">
      <c r="A8" s="24">
        <v>7</v>
      </c>
      <c r="B8" s="24">
        <v>107</v>
      </c>
      <c r="C8" s="26" t="s">
        <v>49</v>
      </c>
      <c r="D8" s="3">
        <v>45</v>
      </c>
      <c r="E8" s="3">
        <v>57</v>
      </c>
      <c r="F8" s="3">
        <v>58</v>
      </c>
      <c r="G8" s="3">
        <v>78</v>
      </c>
      <c r="H8" s="3">
        <v>88</v>
      </c>
      <c r="I8" s="3">
        <v>71</v>
      </c>
      <c r="J8" s="3">
        <f t="shared" si="3"/>
        <v>397</v>
      </c>
      <c r="K8" s="4" t="str">
        <f t="shared" si="0"/>
        <v>Fail</v>
      </c>
      <c r="L8" s="4" t="str">
        <f t="shared" si="1"/>
        <v>C</v>
      </c>
      <c r="M8" s="25">
        <f t="shared" si="2"/>
        <v>6</v>
      </c>
    </row>
    <row r="9" spans="1:13" ht="21.95" customHeight="1" x14ac:dyDescent="0.45">
      <c r="A9" s="24">
        <v>8</v>
      </c>
      <c r="B9" s="24">
        <v>108</v>
      </c>
      <c r="C9" s="26" t="s">
        <v>48</v>
      </c>
      <c r="D9" s="3">
        <v>75</v>
      </c>
      <c r="E9" s="3">
        <v>61</v>
      </c>
      <c r="F9" s="3">
        <v>91</v>
      </c>
      <c r="G9" s="3">
        <v>63</v>
      </c>
      <c r="H9" s="3">
        <v>85</v>
      </c>
      <c r="I9" s="3">
        <v>50</v>
      </c>
      <c r="J9" s="3">
        <f t="shared" si="3"/>
        <v>425</v>
      </c>
      <c r="K9" s="4" t="str">
        <f t="shared" si="0"/>
        <v>Pass</v>
      </c>
      <c r="L9" s="4" t="str">
        <f t="shared" si="1"/>
        <v>B</v>
      </c>
      <c r="M9" s="25">
        <f t="shared" si="2"/>
        <v>4</v>
      </c>
    </row>
    <row r="10" spans="1:13" ht="21.95" customHeight="1" x14ac:dyDescent="0.45">
      <c r="A10" s="24">
        <v>9</v>
      </c>
      <c r="B10" s="24">
        <v>109</v>
      </c>
      <c r="C10" s="26" t="s">
        <v>50</v>
      </c>
      <c r="D10" s="3">
        <v>51</v>
      </c>
      <c r="E10" s="3">
        <v>78</v>
      </c>
      <c r="F10" s="3">
        <v>56</v>
      </c>
      <c r="G10" s="3">
        <v>68</v>
      </c>
      <c r="H10" s="3">
        <v>48</v>
      </c>
      <c r="I10" s="3">
        <v>91</v>
      </c>
      <c r="J10" s="3">
        <f t="shared" si="3"/>
        <v>392</v>
      </c>
      <c r="K10" s="4" t="str">
        <f t="shared" si="0"/>
        <v>Pass</v>
      </c>
      <c r="L10" s="4" t="str">
        <f t="shared" si="1"/>
        <v>C</v>
      </c>
      <c r="M10" s="25">
        <f t="shared" si="2"/>
        <v>7</v>
      </c>
    </row>
    <row r="11" spans="1:13" ht="21.95" customHeight="1" x14ac:dyDescent="0.45">
      <c r="A11" s="24">
        <v>10</v>
      </c>
      <c r="B11" s="24">
        <v>110</v>
      </c>
      <c r="C11" s="26" t="s">
        <v>48</v>
      </c>
      <c r="D11" s="3">
        <v>65</v>
      </c>
      <c r="E11" s="3">
        <v>81</v>
      </c>
      <c r="F11" s="3">
        <v>52</v>
      </c>
      <c r="G11" s="3">
        <v>66</v>
      </c>
      <c r="H11" s="3">
        <v>83</v>
      </c>
      <c r="I11" s="3">
        <v>84</v>
      </c>
      <c r="J11" s="3">
        <f t="shared" si="3"/>
        <v>431</v>
      </c>
      <c r="K11" s="4" t="str">
        <f t="shared" si="0"/>
        <v>Pass</v>
      </c>
      <c r="L11" s="4" t="str">
        <f t="shared" si="1"/>
        <v>B</v>
      </c>
      <c r="M11" s="25">
        <f t="shared" si="2"/>
        <v>2</v>
      </c>
    </row>
    <row r="13" spans="1:13" ht="28.5" x14ac:dyDescent="0.45">
      <c r="C13" s="27" t="s">
        <v>51</v>
      </c>
      <c r="D13">
        <f>_xlfn.XLOOKUP(C13,C2:C11,M2:M11,,,2)</f>
        <v>5</v>
      </c>
      <c r="H13" s="16"/>
    </row>
    <row r="14" spans="1:13" x14ac:dyDescent="0.25">
      <c r="I14" t="str">
        <f>INDEX(B1:H11,3,2)</f>
        <v>Karim</v>
      </c>
    </row>
    <row r="16" spans="1:13" x14ac:dyDescent="0.25">
      <c r="F16">
        <v>109</v>
      </c>
      <c r="G16">
        <f>MATCH(F16,B1:B11,0)</f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CCD8-1A65-47C2-99F3-C722BA95EE94}">
  <dimension ref="A1:I16"/>
  <sheetViews>
    <sheetView zoomScale="140" zoomScaleNormal="140" workbookViewId="0">
      <selection activeCell="H1" sqref="H1"/>
    </sheetView>
  </sheetViews>
  <sheetFormatPr defaultRowHeight="15" x14ac:dyDescent="0.25"/>
  <cols>
    <col min="1" max="1" width="19" customWidth="1"/>
    <col min="2" max="2" width="10.140625" customWidth="1"/>
    <col min="3" max="3" width="9.7109375" customWidth="1"/>
    <col min="4" max="4" width="14.5703125" customWidth="1"/>
    <col min="5" max="5" width="17.28515625" customWidth="1"/>
    <col min="6" max="6" width="14.42578125" customWidth="1"/>
    <col min="7" max="7" width="1.5703125" customWidth="1"/>
    <col min="8" max="8" width="14.42578125" customWidth="1"/>
    <col min="9" max="9" width="14.140625" customWidth="1"/>
  </cols>
  <sheetData>
    <row r="1" spans="1:9" ht="23.25" x14ac:dyDescent="0.25">
      <c r="D1" s="28" t="s">
        <v>55</v>
      </c>
      <c r="E1" s="29" t="s">
        <v>10</v>
      </c>
      <c r="H1" s="38" t="s">
        <v>75</v>
      </c>
      <c r="I1" s="38" t="s">
        <v>76</v>
      </c>
    </row>
    <row r="2" spans="1:9" ht="23.25" x14ac:dyDescent="0.25">
      <c r="D2" s="28" t="s">
        <v>54</v>
      </c>
      <c r="E2" s="29" t="s">
        <v>3</v>
      </c>
      <c r="H2" s="4"/>
      <c r="I2" s="4" t="s">
        <v>10</v>
      </c>
    </row>
    <row r="3" spans="1:9" ht="23.25" x14ac:dyDescent="0.25">
      <c r="A3" s="41" t="s">
        <v>15</v>
      </c>
      <c r="B3" s="42" t="s">
        <v>16</v>
      </c>
      <c r="C3" s="42"/>
      <c r="D3" s="28" t="s">
        <v>53</v>
      </c>
      <c r="E3" s="29">
        <f>INDEX(A5:F15,MATCH(E1,A5:A15,0),MATCH(E2,A5:F5,0))</f>
        <v>3011</v>
      </c>
      <c r="G3" t="s">
        <v>24</v>
      </c>
      <c r="H3" s="4" t="str">
        <f>INDEX(A5:F15,3,1)</f>
        <v>HOWRAH</v>
      </c>
      <c r="I3" s="4">
        <f>MATCH(I2,A6:A15,0)</f>
        <v>9</v>
      </c>
    </row>
    <row r="4" spans="1:9" ht="3.75" customHeight="1" x14ac:dyDescent="0.25">
      <c r="A4" s="40"/>
      <c r="B4" s="43"/>
      <c r="C4" s="43"/>
      <c r="D4" s="6"/>
      <c r="E4" s="6"/>
    </row>
    <row r="5" spans="1:9" ht="21.95" customHeight="1" x14ac:dyDescent="0.25">
      <c r="A5" s="39" t="s">
        <v>14</v>
      </c>
      <c r="B5" s="8" t="s">
        <v>12</v>
      </c>
      <c r="C5" s="8" t="s">
        <v>1</v>
      </c>
      <c r="D5" s="8" t="s">
        <v>2</v>
      </c>
      <c r="E5" s="8" t="s">
        <v>3</v>
      </c>
      <c r="F5" s="8" t="s">
        <v>13</v>
      </c>
      <c r="G5" s="1"/>
      <c r="H5" s="2" t="s">
        <v>0</v>
      </c>
      <c r="I5" s="2" t="s">
        <v>19</v>
      </c>
    </row>
    <row r="6" spans="1:9" ht="18" customHeight="1" x14ac:dyDescent="0.25">
      <c r="A6" s="9" t="s">
        <v>4</v>
      </c>
      <c r="B6" s="10">
        <v>4552</v>
      </c>
      <c r="C6" s="10">
        <v>3645</v>
      </c>
      <c r="D6" s="10">
        <v>3979</v>
      </c>
      <c r="E6" s="10">
        <v>4779</v>
      </c>
      <c r="F6" s="10">
        <v>2376</v>
      </c>
      <c r="G6" s="3"/>
      <c r="H6" s="4">
        <f>SUM(B6:F6)</f>
        <v>19331</v>
      </c>
      <c r="I6" s="4"/>
    </row>
    <row r="7" spans="1:9" ht="18" customHeight="1" x14ac:dyDescent="0.25">
      <c r="A7" s="9" t="s">
        <v>5</v>
      </c>
      <c r="B7" s="10">
        <v>4895</v>
      </c>
      <c r="C7" s="10">
        <v>4118</v>
      </c>
      <c r="D7" s="10">
        <v>4525</v>
      </c>
      <c r="E7" s="10">
        <v>4511</v>
      </c>
      <c r="F7" s="10">
        <v>2847</v>
      </c>
      <c r="G7" s="3"/>
      <c r="H7" s="4">
        <f t="shared" ref="H7:H15" si="0">SUM(B7:F7)</f>
        <v>20896</v>
      </c>
      <c r="I7" s="4"/>
    </row>
    <row r="8" spans="1:9" ht="18" customHeight="1" x14ac:dyDescent="0.25">
      <c r="A8" s="9" t="s">
        <v>17</v>
      </c>
      <c r="B8" s="10">
        <v>4236</v>
      </c>
      <c r="C8" s="10">
        <v>3769</v>
      </c>
      <c r="D8" s="10">
        <v>3028</v>
      </c>
      <c r="E8" s="10">
        <v>3051</v>
      </c>
      <c r="F8" s="10">
        <v>3771</v>
      </c>
      <c r="G8" s="3"/>
      <c r="H8" s="4">
        <f t="shared" si="0"/>
        <v>17855</v>
      </c>
      <c r="I8" s="4"/>
    </row>
    <row r="9" spans="1:9" ht="18" customHeight="1" x14ac:dyDescent="0.25">
      <c r="A9" s="9" t="s">
        <v>6</v>
      </c>
      <c r="B9" s="10">
        <v>3227</v>
      </c>
      <c r="C9" s="10">
        <v>2675</v>
      </c>
      <c r="D9" s="10">
        <v>4795</v>
      </c>
      <c r="E9" s="10">
        <v>2785</v>
      </c>
      <c r="F9" s="10">
        <v>3214</v>
      </c>
      <c r="G9" s="3"/>
      <c r="H9" s="4">
        <f t="shared" si="0"/>
        <v>16696</v>
      </c>
      <c r="I9" s="4"/>
    </row>
    <row r="10" spans="1:9" ht="18" customHeight="1" x14ac:dyDescent="0.25">
      <c r="A10" s="9" t="s">
        <v>18</v>
      </c>
      <c r="B10" s="10">
        <v>4790</v>
      </c>
      <c r="C10" s="10">
        <v>2615</v>
      </c>
      <c r="D10" s="10">
        <v>2640</v>
      </c>
      <c r="E10" s="10">
        <v>4484</v>
      </c>
      <c r="F10" s="10">
        <v>4384</v>
      </c>
      <c r="G10" s="3"/>
      <c r="H10" s="4">
        <f t="shared" si="0"/>
        <v>18913</v>
      </c>
      <c r="I10" s="4"/>
    </row>
    <row r="11" spans="1:9" ht="18" customHeight="1" x14ac:dyDescent="0.25">
      <c r="A11" s="9" t="s">
        <v>7</v>
      </c>
      <c r="B11" s="10">
        <v>2449</v>
      </c>
      <c r="C11" s="10">
        <v>4377</v>
      </c>
      <c r="D11" s="10">
        <v>3194</v>
      </c>
      <c r="E11" s="10">
        <v>3319</v>
      </c>
      <c r="F11" s="10">
        <v>2389</v>
      </c>
      <c r="G11" s="3"/>
      <c r="H11" s="4">
        <f t="shared" si="0"/>
        <v>15728</v>
      </c>
      <c r="I11" s="4"/>
    </row>
    <row r="12" spans="1:9" ht="18" customHeight="1" x14ac:dyDescent="0.25">
      <c r="A12" s="9" t="s">
        <v>8</v>
      </c>
      <c r="B12" s="10">
        <v>2509</v>
      </c>
      <c r="C12" s="10">
        <v>3664</v>
      </c>
      <c r="D12" s="10">
        <v>4106</v>
      </c>
      <c r="E12" s="10">
        <v>2846</v>
      </c>
      <c r="F12" s="10">
        <v>3428</v>
      </c>
      <c r="G12" s="3"/>
      <c r="H12" s="4">
        <f t="shared" si="0"/>
        <v>16553</v>
      </c>
      <c r="I12" s="4"/>
    </row>
    <row r="13" spans="1:9" ht="18" customHeight="1" x14ac:dyDescent="0.25">
      <c r="A13" s="9" t="s">
        <v>9</v>
      </c>
      <c r="B13" s="10">
        <v>3019</v>
      </c>
      <c r="C13" s="10">
        <v>4284</v>
      </c>
      <c r="D13" s="10">
        <v>2182</v>
      </c>
      <c r="E13" s="10">
        <v>3974</v>
      </c>
      <c r="F13" s="10">
        <v>2446</v>
      </c>
      <c r="G13" s="3"/>
      <c r="H13" s="4">
        <f t="shared" si="0"/>
        <v>15905</v>
      </c>
      <c r="I13" s="4"/>
    </row>
    <row r="14" spans="1:9" ht="18" customHeight="1" x14ac:dyDescent="0.25">
      <c r="A14" s="9" t="s">
        <v>10</v>
      </c>
      <c r="B14" s="10">
        <v>2521</v>
      </c>
      <c r="C14" s="10">
        <v>4143</v>
      </c>
      <c r="D14" s="10">
        <v>4899</v>
      </c>
      <c r="E14" s="10">
        <v>3011</v>
      </c>
      <c r="F14" s="10">
        <v>2410</v>
      </c>
      <c r="G14" s="3"/>
      <c r="H14" s="4">
        <f t="shared" si="0"/>
        <v>16984</v>
      </c>
      <c r="I14" s="4"/>
    </row>
    <row r="15" spans="1:9" ht="18" customHeight="1" x14ac:dyDescent="0.25">
      <c r="A15" s="9" t="s">
        <v>11</v>
      </c>
      <c r="B15" s="10">
        <v>4105</v>
      </c>
      <c r="C15" s="10">
        <v>3564</v>
      </c>
      <c r="D15" s="10">
        <v>4394</v>
      </c>
      <c r="E15" s="10">
        <v>3019</v>
      </c>
      <c r="F15" s="10">
        <v>4670</v>
      </c>
      <c r="G15" s="3"/>
      <c r="H15" s="4">
        <f t="shared" si="0"/>
        <v>19752</v>
      </c>
      <c r="I15" s="4"/>
    </row>
    <row r="16" spans="1:9" ht="18" customHeight="1" x14ac:dyDescent="0.25">
      <c r="A16" s="14"/>
      <c r="B16" s="15"/>
      <c r="C16" s="15"/>
      <c r="D16" s="15"/>
      <c r="E16" s="15"/>
      <c r="F16" s="15"/>
      <c r="G16" s="16"/>
      <c r="H16" s="13"/>
      <c r="I16" s="13"/>
    </row>
  </sheetData>
  <mergeCells count="2">
    <mergeCell ref="A3:A4"/>
    <mergeCell ref="B3:C4"/>
  </mergeCells>
  <dataValidations count="2">
    <dataValidation type="list" allowBlank="1" showInputMessage="1" showErrorMessage="1" sqref="E1" xr:uid="{3E1AE4D3-D3BA-43B0-8B86-2EE25A1F3769}">
      <formula1>$A$6:$A$15</formula1>
    </dataValidation>
    <dataValidation type="list" allowBlank="1" showInputMessage="1" showErrorMessage="1" sqref="E2" xr:uid="{019DF2DC-5362-48AC-A537-259A6C648DA4}">
      <formula1>$B$5:$F$5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4E03-5356-4BD5-92A4-4A8D9AAAA9BC}">
  <dimension ref="A1:T13"/>
  <sheetViews>
    <sheetView topLeftCell="E1" zoomScale="140" zoomScaleNormal="140" workbookViewId="0">
      <selection activeCell="N1" sqref="N1"/>
    </sheetView>
  </sheetViews>
  <sheetFormatPr defaultRowHeight="15" x14ac:dyDescent="0.25"/>
  <cols>
    <col min="2" max="2" width="23.5703125" customWidth="1"/>
    <col min="5" max="5" width="21.7109375" customWidth="1"/>
    <col min="6" max="6" width="4.7109375" customWidth="1"/>
    <col min="7" max="7" width="6.28515625" customWidth="1"/>
    <col min="9" max="9" width="22.140625" customWidth="1"/>
    <col min="10" max="10" width="10.5703125" customWidth="1"/>
    <col min="11" max="12" width="9.28515625" customWidth="1"/>
    <col min="13" max="13" width="11.28515625" customWidth="1"/>
    <col min="14" max="14" width="14.85546875" customWidth="1"/>
    <col min="15" max="15" width="1.5703125" customWidth="1"/>
    <col min="16" max="16" width="15" customWidth="1"/>
    <col min="17" max="17" width="17.5703125" customWidth="1"/>
    <col min="19" max="19" width="11.42578125" customWidth="1"/>
    <col min="20" max="20" width="16.85546875" customWidth="1"/>
  </cols>
  <sheetData>
    <row r="1" spans="1:20" ht="30" customHeight="1" x14ac:dyDescent="0.4">
      <c r="A1" s="44" t="s">
        <v>77</v>
      </c>
      <c r="B1" s="45"/>
      <c r="I1" s="5" t="s">
        <v>15</v>
      </c>
      <c r="J1" s="32" t="s">
        <v>16</v>
      </c>
      <c r="K1" s="33"/>
      <c r="L1" s="6"/>
      <c r="M1" s="6"/>
      <c r="N1">
        <f ca="1">OFFSET(I2,5,3)</f>
        <v>2640</v>
      </c>
    </row>
    <row r="2" spans="1:20" ht="21.95" customHeight="1" x14ac:dyDescent="0.25">
      <c r="A2" s="7" t="s">
        <v>56</v>
      </c>
      <c r="B2" s="7" t="s">
        <v>14</v>
      </c>
      <c r="D2" s="7" t="s">
        <v>56</v>
      </c>
      <c r="E2" s="7" t="s">
        <v>14</v>
      </c>
      <c r="I2" s="7" t="s">
        <v>14</v>
      </c>
      <c r="J2" s="8" t="s">
        <v>12</v>
      </c>
      <c r="K2" s="8" t="s">
        <v>1</v>
      </c>
      <c r="L2" s="8" t="s">
        <v>2</v>
      </c>
      <c r="M2" s="8" t="s">
        <v>3</v>
      </c>
      <c r="N2" s="8" t="s">
        <v>13</v>
      </c>
      <c r="O2" s="1"/>
      <c r="P2" s="2" t="s">
        <v>0</v>
      </c>
      <c r="Q2" s="2" t="s">
        <v>19</v>
      </c>
      <c r="S2" s="12" t="s">
        <v>0</v>
      </c>
      <c r="T2" s="12" t="s">
        <v>19</v>
      </c>
    </row>
    <row r="3" spans="1:20" ht="18" customHeight="1" x14ac:dyDescent="0.35">
      <c r="A3" s="30">
        <v>1</v>
      </c>
      <c r="B3" s="31" t="str">
        <f>CHOOSE(A3,$E$3,$E$4,$E$5,$E$6,$E$7,$E$12)</f>
        <v>KOLKATA</v>
      </c>
      <c r="D3" s="30">
        <v>1</v>
      </c>
      <c r="E3" s="9" t="s">
        <v>4</v>
      </c>
      <c r="I3" s="9" t="s">
        <v>4</v>
      </c>
      <c r="J3" s="10">
        <v>4552</v>
      </c>
      <c r="K3" s="10">
        <v>3645</v>
      </c>
      <c r="L3" s="10">
        <v>3979</v>
      </c>
      <c r="M3" s="10">
        <v>4779</v>
      </c>
      <c r="N3" s="10">
        <v>2376</v>
      </c>
      <c r="O3" s="3"/>
      <c r="P3" s="4">
        <f>SUM(J3:N3)</f>
        <v>19331</v>
      </c>
      <c r="Q3" s="4"/>
      <c r="S3" s="4">
        <v>15000</v>
      </c>
      <c r="T3" s="4" t="s">
        <v>23</v>
      </c>
    </row>
    <row r="4" spans="1:20" ht="18" customHeight="1" x14ac:dyDescent="0.35">
      <c r="A4" s="30">
        <v>4</v>
      </c>
      <c r="B4" s="31" t="str">
        <f t="shared" ref="B4:B12" si="0">CHOOSE(A4,$E$3,$E$4,$E$5,$E$6,$E$7,$E$12)</f>
        <v>N 24 PARGANA</v>
      </c>
      <c r="D4" s="30">
        <v>2</v>
      </c>
      <c r="E4" s="9" t="s">
        <v>5</v>
      </c>
      <c r="I4" s="9" t="s">
        <v>5</v>
      </c>
      <c r="J4" s="10">
        <v>4895</v>
      </c>
      <c r="K4" s="10">
        <v>4118</v>
      </c>
      <c r="L4" s="10">
        <v>4525</v>
      </c>
      <c r="M4" s="10">
        <v>4511</v>
      </c>
      <c r="N4" s="10">
        <v>2847</v>
      </c>
      <c r="O4" s="3"/>
      <c r="P4" s="4">
        <f t="shared" ref="P4:P12" si="1">SUM(J4:N4)</f>
        <v>20896</v>
      </c>
      <c r="Q4" s="4"/>
      <c r="S4" s="4">
        <v>16000</v>
      </c>
      <c r="T4" s="4" t="s">
        <v>20</v>
      </c>
    </row>
    <row r="5" spans="1:20" ht="18" customHeight="1" x14ac:dyDescent="0.35">
      <c r="A5" s="30">
        <v>2</v>
      </c>
      <c r="B5" s="31" t="str">
        <f t="shared" si="0"/>
        <v>HOWRAH</v>
      </c>
      <c r="D5" s="30">
        <v>3</v>
      </c>
      <c r="E5" s="9" t="s">
        <v>17</v>
      </c>
      <c r="I5" s="9" t="s">
        <v>17</v>
      </c>
      <c r="J5" s="10">
        <v>4236</v>
      </c>
      <c r="K5" s="10">
        <v>3769</v>
      </c>
      <c r="L5" s="10">
        <v>3028</v>
      </c>
      <c r="M5" s="10">
        <v>3051</v>
      </c>
      <c r="N5" s="10">
        <v>3771</v>
      </c>
      <c r="O5" s="3"/>
      <c r="P5" s="4">
        <f t="shared" si="1"/>
        <v>17855</v>
      </c>
      <c r="Q5" s="4"/>
      <c r="S5" s="4">
        <v>18000</v>
      </c>
      <c r="T5" s="4" t="s">
        <v>21</v>
      </c>
    </row>
    <row r="6" spans="1:20" ht="18" customHeight="1" x14ac:dyDescent="0.35">
      <c r="A6" s="30">
        <v>3</v>
      </c>
      <c r="B6" s="31" t="str">
        <f t="shared" si="0"/>
        <v>HOOGHLY</v>
      </c>
      <c r="D6" s="30">
        <v>4</v>
      </c>
      <c r="E6" s="9" t="s">
        <v>6</v>
      </c>
      <c r="I6" s="9" t="s">
        <v>6</v>
      </c>
      <c r="J6" s="10">
        <v>3227</v>
      </c>
      <c r="K6" s="10">
        <v>2675</v>
      </c>
      <c r="L6" s="10">
        <v>4795</v>
      </c>
      <c r="M6" s="10">
        <v>2785</v>
      </c>
      <c r="N6" s="10">
        <v>3214</v>
      </c>
      <c r="O6" s="3"/>
      <c r="P6" s="4">
        <f t="shared" si="1"/>
        <v>16696</v>
      </c>
      <c r="Q6" s="4"/>
      <c r="S6" s="4">
        <v>20000</v>
      </c>
      <c r="T6" s="4" t="s">
        <v>22</v>
      </c>
    </row>
    <row r="7" spans="1:20" ht="18" customHeight="1" x14ac:dyDescent="0.35">
      <c r="A7" s="30"/>
      <c r="B7" s="31" t="e">
        <f t="shared" si="0"/>
        <v>#VALUE!</v>
      </c>
      <c r="D7" s="30">
        <v>5</v>
      </c>
      <c r="E7" s="9" t="s">
        <v>18</v>
      </c>
      <c r="I7" s="9" t="s">
        <v>18</v>
      </c>
      <c r="J7" s="10">
        <v>4790</v>
      </c>
      <c r="K7" s="10">
        <v>2615</v>
      </c>
      <c r="L7" s="10">
        <v>2640</v>
      </c>
      <c r="M7" s="10">
        <v>4484</v>
      </c>
      <c r="N7" s="10">
        <v>4384</v>
      </c>
      <c r="O7" s="3"/>
      <c r="P7" s="4">
        <f t="shared" si="1"/>
        <v>18913</v>
      </c>
      <c r="Q7" s="4"/>
    </row>
    <row r="8" spans="1:20" ht="18" customHeight="1" x14ac:dyDescent="0.35">
      <c r="A8" s="30"/>
      <c r="B8" s="31" t="e">
        <f t="shared" si="0"/>
        <v>#VALUE!</v>
      </c>
      <c r="D8" s="30">
        <v>6</v>
      </c>
      <c r="E8" s="9" t="s">
        <v>7</v>
      </c>
      <c r="I8" s="9" t="s">
        <v>7</v>
      </c>
      <c r="J8" s="10">
        <v>2449</v>
      </c>
      <c r="K8" s="10">
        <v>4377</v>
      </c>
      <c r="L8" s="10">
        <v>3194</v>
      </c>
      <c r="M8" s="10">
        <v>3319</v>
      </c>
      <c r="N8" s="10">
        <v>2389</v>
      </c>
      <c r="O8" s="3"/>
      <c r="P8" s="4">
        <f t="shared" si="1"/>
        <v>15728</v>
      </c>
      <c r="Q8" s="4"/>
    </row>
    <row r="9" spans="1:20" ht="18" customHeight="1" x14ac:dyDescent="0.35">
      <c r="A9" s="30"/>
      <c r="B9" s="31" t="e">
        <f t="shared" si="0"/>
        <v>#VALUE!</v>
      </c>
      <c r="D9" s="30">
        <v>7</v>
      </c>
      <c r="E9" s="9" t="s">
        <v>8</v>
      </c>
      <c r="I9" s="9" t="s">
        <v>8</v>
      </c>
      <c r="J9" s="10">
        <v>2509</v>
      </c>
      <c r="K9" s="10">
        <v>3664</v>
      </c>
      <c r="L9" s="10">
        <v>4106</v>
      </c>
      <c r="M9" s="10">
        <v>2846</v>
      </c>
      <c r="N9" s="10">
        <v>3428</v>
      </c>
      <c r="O9" s="3"/>
      <c r="P9" s="4">
        <f t="shared" si="1"/>
        <v>16553</v>
      </c>
      <c r="Q9" s="4"/>
    </row>
    <row r="10" spans="1:20" ht="18" customHeight="1" x14ac:dyDescent="0.35">
      <c r="A10" s="30"/>
      <c r="B10" s="31" t="e">
        <f t="shared" si="0"/>
        <v>#VALUE!</v>
      </c>
      <c r="D10" s="30">
        <v>8</v>
      </c>
      <c r="E10" s="9" t="s">
        <v>9</v>
      </c>
      <c r="I10" s="9" t="s">
        <v>9</v>
      </c>
      <c r="J10" s="10">
        <v>3019</v>
      </c>
      <c r="K10" s="10">
        <v>4284</v>
      </c>
      <c r="L10" s="10">
        <v>2182</v>
      </c>
      <c r="M10" s="10">
        <v>3974</v>
      </c>
      <c r="N10" s="10">
        <v>2446</v>
      </c>
      <c r="O10" s="3"/>
      <c r="P10" s="4">
        <f t="shared" si="1"/>
        <v>15905</v>
      </c>
      <c r="Q10" s="4"/>
    </row>
    <row r="11" spans="1:20" ht="18" customHeight="1" x14ac:dyDescent="0.35">
      <c r="A11" s="30"/>
      <c r="B11" s="31" t="e">
        <f t="shared" si="0"/>
        <v>#VALUE!</v>
      </c>
      <c r="D11" s="30">
        <v>9</v>
      </c>
      <c r="E11" s="9" t="s">
        <v>10</v>
      </c>
      <c r="I11" s="9" t="s">
        <v>10</v>
      </c>
      <c r="J11" s="10">
        <v>2521</v>
      </c>
      <c r="K11" s="10">
        <v>4143</v>
      </c>
      <c r="L11" s="10">
        <v>4899</v>
      </c>
      <c r="M11" s="10">
        <v>3011</v>
      </c>
      <c r="N11" s="10">
        <v>2410</v>
      </c>
      <c r="O11" s="3"/>
      <c r="P11" s="4">
        <f t="shared" si="1"/>
        <v>16984</v>
      </c>
      <c r="Q11" s="4"/>
    </row>
    <row r="12" spans="1:20" ht="18" customHeight="1" x14ac:dyDescent="0.35">
      <c r="A12" s="30"/>
      <c r="B12" s="31" t="e">
        <f t="shared" si="0"/>
        <v>#VALUE!</v>
      </c>
      <c r="D12" s="30">
        <v>10</v>
      </c>
      <c r="E12" s="9" t="s">
        <v>11</v>
      </c>
      <c r="I12" s="9" t="s">
        <v>11</v>
      </c>
      <c r="J12" s="10">
        <v>4105</v>
      </c>
      <c r="K12" s="10">
        <v>3564</v>
      </c>
      <c r="L12" s="10">
        <v>4394</v>
      </c>
      <c r="M12" s="10">
        <v>3019</v>
      </c>
      <c r="N12" s="10">
        <v>4670</v>
      </c>
      <c r="O12" s="3"/>
      <c r="P12" s="4">
        <f t="shared" si="1"/>
        <v>19752</v>
      </c>
      <c r="Q12" s="4"/>
    </row>
    <row r="13" spans="1:20" ht="13.5" customHeight="1" x14ac:dyDescent="0.25">
      <c r="J13">
        <f ca="1">SUM(OFFSET(I3,J3,K3))</f>
        <v>0</v>
      </c>
    </row>
  </sheetData>
  <mergeCells count="2">
    <mergeCell ref="J1:K1"/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1D82-717A-44AC-BBF7-3FF8AD756BEE}">
  <dimension ref="A1:E13"/>
  <sheetViews>
    <sheetView zoomScale="140" zoomScaleNormal="140" workbookViewId="0">
      <selection activeCell="F2" sqref="F2:F12"/>
    </sheetView>
  </sheetViews>
  <sheetFormatPr defaultRowHeight="15" x14ac:dyDescent="0.25"/>
  <cols>
    <col min="2" max="2" width="23.5703125" customWidth="1"/>
    <col min="5" max="5" width="21.7109375" customWidth="1"/>
    <col min="6" max="6" width="4.7109375" customWidth="1"/>
    <col min="7" max="7" width="6.28515625" customWidth="1"/>
  </cols>
  <sheetData>
    <row r="1" spans="1:5" ht="30" customHeight="1" x14ac:dyDescent="0.25">
      <c r="A1" s="44" t="s">
        <v>78</v>
      </c>
      <c r="B1" s="45"/>
    </row>
    <row r="2" spans="1:5" ht="21.95" customHeight="1" x14ac:dyDescent="0.25">
      <c r="A2" s="7" t="s">
        <v>56</v>
      </c>
      <c r="B2" s="7" t="s">
        <v>14</v>
      </c>
      <c r="D2" s="7" t="s">
        <v>56</v>
      </c>
      <c r="E2" s="7" t="s">
        <v>14</v>
      </c>
    </row>
    <row r="3" spans="1:5" ht="18" customHeight="1" x14ac:dyDescent="0.35">
      <c r="A3" s="30"/>
      <c r="B3" s="31"/>
      <c r="D3" s="30">
        <v>1</v>
      </c>
      <c r="E3" s="9" t="s">
        <v>4</v>
      </c>
    </row>
    <row r="4" spans="1:5" ht="18" customHeight="1" x14ac:dyDescent="0.35">
      <c r="A4" s="30"/>
      <c r="B4" s="31">
        <f ca="1">OFFSET(D2,2,2)</f>
        <v>0</v>
      </c>
      <c r="D4" s="30">
        <v>2</v>
      </c>
      <c r="E4" s="9" t="s">
        <v>5</v>
      </c>
    </row>
    <row r="5" spans="1:5" ht="18" customHeight="1" x14ac:dyDescent="0.35">
      <c r="A5" s="30"/>
      <c r="B5" s="31"/>
      <c r="D5" s="30">
        <v>3</v>
      </c>
      <c r="E5" s="9" t="s">
        <v>17</v>
      </c>
    </row>
    <row r="6" spans="1:5" ht="18" customHeight="1" x14ac:dyDescent="0.35">
      <c r="A6" s="30"/>
      <c r="B6" s="31"/>
      <c r="D6" s="30">
        <v>4</v>
      </c>
      <c r="E6" s="9" t="s">
        <v>6</v>
      </c>
    </row>
    <row r="7" spans="1:5" ht="18" customHeight="1" x14ac:dyDescent="0.35">
      <c r="A7" s="30"/>
      <c r="B7" s="31"/>
      <c r="D7" s="30">
        <v>5</v>
      </c>
      <c r="E7" s="9" t="s">
        <v>18</v>
      </c>
    </row>
    <row r="8" spans="1:5" ht="18" customHeight="1" x14ac:dyDescent="0.35">
      <c r="A8" s="30"/>
      <c r="B8" s="31"/>
      <c r="D8" s="30">
        <v>6</v>
      </c>
      <c r="E8" s="9" t="s">
        <v>7</v>
      </c>
    </row>
    <row r="9" spans="1:5" ht="18" customHeight="1" x14ac:dyDescent="0.35">
      <c r="A9" s="30"/>
      <c r="B9" s="31"/>
      <c r="D9" s="30">
        <v>7</v>
      </c>
      <c r="E9" s="9" t="s">
        <v>8</v>
      </c>
    </row>
    <row r="10" spans="1:5" ht="18" customHeight="1" x14ac:dyDescent="0.35">
      <c r="A10" s="30"/>
      <c r="B10" s="31"/>
      <c r="D10" s="30">
        <v>8</v>
      </c>
      <c r="E10" s="9" t="s">
        <v>9</v>
      </c>
    </row>
    <row r="11" spans="1:5" ht="18" customHeight="1" x14ac:dyDescent="0.35">
      <c r="A11" s="30"/>
      <c r="B11" s="31"/>
      <c r="D11" s="30">
        <v>9</v>
      </c>
      <c r="E11" s="9" t="s">
        <v>10</v>
      </c>
    </row>
    <row r="12" spans="1:5" ht="18" customHeight="1" x14ac:dyDescent="0.35">
      <c r="A12" s="30"/>
      <c r="B12" s="31"/>
      <c r="D12" s="30">
        <v>10</v>
      </c>
      <c r="E12" s="9" t="s">
        <v>11</v>
      </c>
    </row>
    <row r="13" spans="1:5" ht="13.5" customHeight="1" x14ac:dyDescent="0.25"/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FE789-AD1C-4806-8B7A-923F7F10D0D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VLOOKUP</vt:lpstr>
      <vt:lpstr>HLOOKUP</vt:lpstr>
      <vt:lpstr>XLOOKUP</vt:lpstr>
      <vt:lpstr>Xlookup (First to last)</vt:lpstr>
      <vt:lpstr>INDEX+MATCH</vt:lpstr>
      <vt:lpstr>CHOOSE</vt:lpstr>
      <vt:lpstr>OFFSET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Amirul Islam</dc:creator>
  <cp:lastModifiedBy>Amirul Islam</cp:lastModifiedBy>
  <dcterms:created xsi:type="dcterms:W3CDTF">2026-01-25T14:52:53Z</dcterms:created>
  <dcterms:modified xsi:type="dcterms:W3CDTF">2026-02-01T06:05:39Z</dcterms:modified>
</cp:coreProperties>
</file>