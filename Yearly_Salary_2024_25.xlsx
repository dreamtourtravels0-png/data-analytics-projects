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L CLASS\20 class\15 Class\"/>
    </mc:Choice>
  </mc:AlternateContent>
  <xr:revisionPtr revIDLastSave="0" documentId="13_ncr:1_{031F02C7-094B-43A6-8A07-FCE2C80F67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early Salary 202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B16" i="1"/>
  <c r="I5" i="1"/>
  <c r="I6" i="1"/>
  <c r="I7" i="1"/>
  <c r="I8" i="1"/>
  <c r="I9" i="1"/>
  <c r="I10" i="1"/>
  <c r="I11" i="1"/>
  <c r="I12" i="1"/>
  <c r="I13" i="1"/>
  <c r="I14" i="1"/>
  <c r="I15" i="1"/>
  <c r="I4" i="1"/>
  <c r="G5" i="1"/>
  <c r="G6" i="1"/>
  <c r="G7" i="1"/>
  <c r="G8" i="1"/>
  <c r="G9" i="1"/>
  <c r="G10" i="1"/>
  <c r="G11" i="1"/>
  <c r="G12" i="1"/>
  <c r="G13" i="1"/>
  <c r="G14" i="1"/>
  <c r="G15" i="1"/>
  <c r="G4" i="1"/>
  <c r="F5" i="1"/>
  <c r="F6" i="1"/>
  <c r="F7" i="1"/>
  <c r="F8" i="1"/>
  <c r="F9" i="1"/>
  <c r="F10" i="1"/>
  <c r="F11" i="1"/>
  <c r="F12" i="1"/>
  <c r="F13" i="1"/>
  <c r="F14" i="1"/>
  <c r="F15" i="1"/>
  <c r="F4" i="1"/>
  <c r="D5" i="1"/>
  <c r="D6" i="1"/>
  <c r="D7" i="1"/>
  <c r="D8" i="1"/>
  <c r="D9" i="1"/>
  <c r="D10" i="1"/>
  <c r="D11" i="1"/>
  <c r="D12" i="1"/>
  <c r="D13" i="1"/>
  <c r="D14" i="1"/>
  <c r="D15" i="1"/>
  <c r="D4" i="1"/>
  <c r="C5" i="1"/>
  <c r="C6" i="1"/>
  <c r="C7" i="1"/>
  <c r="C8" i="1"/>
  <c r="C9" i="1"/>
  <c r="C10" i="1"/>
  <c r="C11" i="1"/>
  <c r="C12" i="1"/>
  <c r="C13" i="1"/>
  <c r="C14" i="1"/>
  <c r="C15" i="1"/>
  <c r="C4" i="1"/>
</calcChain>
</file>

<file path=xl/sharedStrings.xml><?xml version="1.0" encoding="utf-8"?>
<sst xmlns="http://schemas.openxmlformats.org/spreadsheetml/2006/main" count="24" uniqueCount="24">
  <si>
    <t>Month</t>
  </si>
  <si>
    <t>Basic Pay</t>
  </si>
  <si>
    <t>MA</t>
  </si>
  <si>
    <t>Total</t>
  </si>
  <si>
    <t>P.TAX</t>
  </si>
  <si>
    <t>I.TAX</t>
  </si>
  <si>
    <t>March-24</t>
  </si>
  <si>
    <t>April-24</t>
  </si>
  <si>
    <t>May-24</t>
  </si>
  <si>
    <t>June-24</t>
  </si>
  <si>
    <t>July-24</t>
  </si>
  <si>
    <t>August-24</t>
  </si>
  <si>
    <t>September-24</t>
  </si>
  <si>
    <t>October-24</t>
  </si>
  <si>
    <t>November-24</t>
  </si>
  <si>
    <t>December-24</t>
  </si>
  <si>
    <t>January-25</t>
  </si>
  <si>
    <t>February-25</t>
  </si>
  <si>
    <t>HRA (12%)</t>
  </si>
  <si>
    <t>Gross Total</t>
  </si>
  <si>
    <t>GPF (8%)</t>
  </si>
  <si>
    <t>Net Salary</t>
  </si>
  <si>
    <t xml:space="preserve">Yearly Salary Statement Sheet </t>
  </si>
  <si>
    <t>DA  (18%)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</si>
</sst>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rgb="FF7030A0"/>
      <name val="Calibri"/>
      <family val="2"/>
      <scheme val="minor"/>
    </font>
    <font>
      <b/>
      <sz val="22"/>
      <color theme="9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A3" zoomScale="90" zoomScaleNormal="90" workbookViewId="0">
      <selection activeCell="E19" sqref="E19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27.5703125" customWidth="1"/>
    <col min="4" max="4" width="22" customWidth="1"/>
    <col min="5" max="5" width="13.7109375" customWidth="1"/>
    <col min="6" max="6" width="20.28515625" customWidth="1"/>
    <col min="7" max="7" width="19.85546875" customWidth="1"/>
    <col min="8" max="8" width="12.85546875" customWidth="1"/>
    <col min="9" max="9" width="18.7109375" customWidth="1"/>
    <col min="10" max="10" width="14.85546875" customWidth="1"/>
  </cols>
  <sheetData>
    <row r="1" spans="1:10" ht="33.75" customHeight="1" x14ac:dyDescent="0.25">
      <c r="A1" s="4" t="s">
        <v>22</v>
      </c>
      <c r="B1" s="4"/>
      <c r="C1" s="4"/>
      <c r="D1" s="4"/>
    </row>
    <row r="2" spans="1:10" ht="7.5" customHeight="1" x14ac:dyDescent="0.25"/>
    <row r="3" spans="1:10" ht="28.5" x14ac:dyDescent="0.25">
      <c r="A3" s="5" t="s">
        <v>0</v>
      </c>
      <c r="B3" s="5" t="s">
        <v>1</v>
      </c>
      <c r="C3" s="5" t="s">
        <v>23</v>
      </c>
      <c r="D3" s="5" t="s">
        <v>18</v>
      </c>
      <c r="E3" s="5" t="s">
        <v>2</v>
      </c>
      <c r="F3" s="5" t="s">
        <v>19</v>
      </c>
      <c r="G3" s="5" t="s">
        <v>20</v>
      </c>
      <c r="H3" s="5" t="s">
        <v>4</v>
      </c>
      <c r="I3" s="5" t="s">
        <v>21</v>
      </c>
      <c r="J3" s="5" t="s">
        <v>5</v>
      </c>
    </row>
    <row r="4" spans="1:10" ht="26.25" x14ac:dyDescent="0.25">
      <c r="A4" s="2" t="s">
        <v>6</v>
      </c>
      <c r="B4" s="1">
        <v>80500</v>
      </c>
      <c r="C4" s="1">
        <f>B4*18%</f>
        <v>14490</v>
      </c>
      <c r="D4" s="1">
        <f>B4*12%</f>
        <v>9660</v>
      </c>
      <c r="E4" s="1">
        <v>500</v>
      </c>
      <c r="F4" s="3">
        <f>SUM(B4:E4)</f>
        <v>105150</v>
      </c>
      <c r="G4" s="1">
        <f>F4*8%</f>
        <v>8412</v>
      </c>
      <c r="H4" s="1">
        <v>200</v>
      </c>
      <c r="I4" s="1">
        <f>F4-(G4+H4)</f>
        <v>96538</v>
      </c>
      <c r="J4" s="1">
        <v>3000</v>
      </c>
    </row>
    <row r="5" spans="1:10" ht="26.25" x14ac:dyDescent="0.25">
      <c r="A5" s="2" t="s">
        <v>7</v>
      </c>
      <c r="B5" s="1">
        <v>80500</v>
      </c>
      <c r="C5" s="1">
        <f t="shared" ref="C5:C16" si="0">B5*18%</f>
        <v>14490</v>
      </c>
      <c r="D5" s="1">
        <f t="shared" ref="D5:D16" si="1">B5*12%</f>
        <v>9660</v>
      </c>
      <c r="E5" s="1">
        <v>500</v>
      </c>
      <c r="F5" s="3">
        <f t="shared" ref="F5:F16" si="2">SUM(B5:E5)</f>
        <v>105150</v>
      </c>
      <c r="G5" s="1">
        <f t="shared" ref="G5:G16" si="3">F5*8%</f>
        <v>8412</v>
      </c>
      <c r="H5" s="1">
        <v>200</v>
      </c>
      <c r="I5" s="1">
        <f t="shared" ref="I5:I16" si="4">F5-(G5+H5)</f>
        <v>96538</v>
      </c>
      <c r="J5" s="1">
        <v>3000</v>
      </c>
    </row>
    <row r="6" spans="1:10" ht="26.25" x14ac:dyDescent="0.25">
      <c r="A6" s="2" t="s">
        <v>8</v>
      </c>
      <c r="B6" s="1">
        <v>85400</v>
      </c>
      <c r="C6" s="1">
        <f t="shared" si="0"/>
        <v>15372</v>
      </c>
      <c r="D6" s="1">
        <f t="shared" si="1"/>
        <v>10248</v>
      </c>
      <c r="E6" s="1">
        <v>500</v>
      </c>
      <c r="F6" s="3">
        <f t="shared" si="2"/>
        <v>111520</v>
      </c>
      <c r="G6" s="1">
        <f t="shared" si="3"/>
        <v>8921.6</v>
      </c>
      <c r="H6" s="1">
        <v>200</v>
      </c>
      <c r="I6" s="1">
        <f t="shared" si="4"/>
        <v>102398.39999999999</v>
      </c>
      <c r="J6" s="1">
        <v>3000</v>
      </c>
    </row>
    <row r="7" spans="1:10" ht="26.25" x14ac:dyDescent="0.25">
      <c r="A7" s="2" t="s">
        <v>9</v>
      </c>
      <c r="B7" s="1">
        <v>86000</v>
      </c>
      <c r="C7" s="1">
        <f t="shared" si="0"/>
        <v>15480</v>
      </c>
      <c r="D7" s="1">
        <f t="shared" si="1"/>
        <v>10320</v>
      </c>
      <c r="E7" s="1">
        <v>500</v>
      </c>
      <c r="F7" s="3">
        <f t="shared" si="2"/>
        <v>112300</v>
      </c>
      <c r="G7" s="1">
        <f t="shared" si="3"/>
        <v>8984</v>
      </c>
      <c r="H7" s="1">
        <v>200</v>
      </c>
      <c r="I7" s="1">
        <f t="shared" si="4"/>
        <v>103116</v>
      </c>
      <c r="J7" s="1">
        <v>3000</v>
      </c>
    </row>
    <row r="8" spans="1:10" ht="26.25" x14ac:dyDescent="0.25">
      <c r="A8" s="2" t="s">
        <v>10</v>
      </c>
      <c r="B8" s="1">
        <v>82000</v>
      </c>
      <c r="C8" s="1">
        <f t="shared" si="0"/>
        <v>14760</v>
      </c>
      <c r="D8" s="1">
        <f t="shared" si="1"/>
        <v>9840</v>
      </c>
      <c r="E8" s="1">
        <v>500</v>
      </c>
      <c r="F8" s="3">
        <f t="shared" si="2"/>
        <v>107100</v>
      </c>
      <c r="G8" s="1">
        <f t="shared" si="3"/>
        <v>8568</v>
      </c>
      <c r="H8" s="1">
        <v>200</v>
      </c>
      <c r="I8" s="1">
        <f t="shared" si="4"/>
        <v>98332</v>
      </c>
      <c r="J8" s="1">
        <v>3000</v>
      </c>
    </row>
    <row r="9" spans="1:10" ht="26.25" x14ac:dyDescent="0.25">
      <c r="A9" s="2" t="s">
        <v>11</v>
      </c>
      <c r="B9" s="1">
        <v>85000</v>
      </c>
      <c r="C9" s="1">
        <f t="shared" si="0"/>
        <v>15300</v>
      </c>
      <c r="D9" s="1">
        <f t="shared" si="1"/>
        <v>10200</v>
      </c>
      <c r="E9" s="1">
        <v>500</v>
      </c>
      <c r="F9" s="3">
        <f t="shared" si="2"/>
        <v>111000</v>
      </c>
      <c r="G9" s="1">
        <f t="shared" si="3"/>
        <v>8880</v>
      </c>
      <c r="H9" s="1">
        <v>200</v>
      </c>
      <c r="I9" s="1">
        <f t="shared" si="4"/>
        <v>101920</v>
      </c>
      <c r="J9" s="1">
        <v>3000</v>
      </c>
    </row>
    <row r="10" spans="1:10" ht="26.25" x14ac:dyDescent="0.25">
      <c r="A10" s="2" t="s">
        <v>12</v>
      </c>
      <c r="B10" s="1">
        <v>87000</v>
      </c>
      <c r="C10" s="1">
        <f t="shared" si="0"/>
        <v>15660</v>
      </c>
      <c r="D10" s="1">
        <f t="shared" si="1"/>
        <v>10440</v>
      </c>
      <c r="E10" s="1">
        <v>500</v>
      </c>
      <c r="F10" s="3">
        <f t="shared" si="2"/>
        <v>113600</v>
      </c>
      <c r="G10" s="1">
        <f t="shared" si="3"/>
        <v>9088</v>
      </c>
      <c r="H10" s="1">
        <v>200</v>
      </c>
      <c r="I10" s="1">
        <f t="shared" si="4"/>
        <v>104312</v>
      </c>
      <c r="J10" s="1">
        <v>3000</v>
      </c>
    </row>
    <row r="11" spans="1:10" ht="26.25" x14ac:dyDescent="0.25">
      <c r="A11" s="2" t="s">
        <v>13</v>
      </c>
      <c r="B11" s="1">
        <v>90000</v>
      </c>
      <c r="C11" s="1">
        <f t="shared" si="0"/>
        <v>16200</v>
      </c>
      <c r="D11" s="1">
        <f t="shared" si="1"/>
        <v>10800</v>
      </c>
      <c r="E11" s="1">
        <v>500</v>
      </c>
      <c r="F11" s="3">
        <f t="shared" si="2"/>
        <v>117500</v>
      </c>
      <c r="G11" s="1">
        <f t="shared" si="3"/>
        <v>9400</v>
      </c>
      <c r="H11" s="1">
        <v>200</v>
      </c>
      <c r="I11" s="1">
        <f t="shared" si="4"/>
        <v>107900</v>
      </c>
      <c r="J11" s="1">
        <v>3000</v>
      </c>
    </row>
    <row r="12" spans="1:10" ht="26.25" x14ac:dyDescent="0.25">
      <c r="A12" s="2" t="s">
        <v>14</v>
      </c>
      <c r="B12" s="1">
        <v>95000</v>
      </c>
      <c r="C12" s="1">
        <f t="shared" si="0"/>
        <v>17100</v>
      </c>
      <c r="D12" s="1">
        <f t="shared" si="1"/>
        <v>11400</v>
      </c>
      <c r="E12" s="1">
        <v>500</v>
      </c>
      <c r="F12" s="3">
        <f t="shared" si="2"/>
        <v>124000</v>
      </c>
      <c r="G12" s="1">
        <f t="shared" si="3"/>
        <v>9920</v>
      </c>
      <c r="H12" s="1">
        <v>200</v>
      </c>
      <c r="I12" s="1">
        <f t="shared" si="4"/>
        <v>113880</v>
      </c>
      <c r="J12" s="1">
        <v>3000</v>
      </c>
    </row>
    <row r="13" spans="1:10" ht="26.25" x14ac:dyDescent="0.25">
      <c r="A13" s="2" t="s">
        <v>15</v>
      </c>
      <c r="B13" s="1">
        <v>90000</v>
      </c>
      <c r="C13" s="1">
        <f t="shared" si="0"/>
        <v>16200</v>
      </c>
      <c r="D13" s="1">
        <f t="shared" si="1"/>
        <v>10800</v>
      </c>
      <c r="E13" s="1">
        <v>500</v>
      </c>
      <c r="F13" s="3">
        <f t="shared" si="2"/>
        <v>117500</v>
      </c>
      <c r="G13" s="1">
        <f t="shared" si="3"/>
        <v>9400</v>
      </c>
      <c r="H13" s="1">
        <v>200</v>
      </c>
      <c r="I13" s="1">
        <f t="shared" si="4"/>
        <v>107900</v>
      </c>
      <c r="J13" s="1">
        <v>3000</v>
      </c>
    </row>
    <row r="14" spans="1:10" ht="26.25" x14ac:dyDescent="0.25">
      <c r="A14" s="2" t="s">
        <v>16</v>
      </c>
      <c r="B14" s="1">
        <v>90000</v>
      </c>
      <c r="C14" s="1">
        <f t="shared" si="0"/>
        <v>16200</v>
      </c>
      <c r="D14" s="1">
        <f t="shared" si="1"/>
        <v>10800</v>
      </c>
      <c r="E14" s="1">
        <v>500</v>
      </c>
      <c r="F14" s="3">
        <f t="shared" si="2"/>
        <v>117500</v>
      </c>
      <c r="G14" s="1">
        <f t="shared" si="3"/>
        <v>9400</v>
      </c>
      <c r="H14" s="1">
        <v>200</v>
      </c>
      <c r="I14" s="1">
        <f t="shared" si="4"/>
        <v>107900</v>
      </c>
      <c r="J14" s="1">
        <v>3000</v>
      </c>
    </row>
    <row r="15" spans="1:10" ht="26.25" x14ac:dyDescent="0.25">
      <c r="A15" s="2" t="s">
        <v>17</v>
      </c>
      <c r="B15" s="1">
        <v>99000</v>
      </c>
      <c r="C15" s="1">
        <f t="shared" si="0"/>
        <v>17820</v>
      </c>
      <c r="D15" s="1">
        <f t="shared" si="1"/>
        <v>11880</v>
      </c>
      <c r="E15" s="1">
        <v>500</v>
      </c>
      <c r="F15" s="3">
        <f t="shared" si="2"/>
        <v>129200</v>
      </c>
      <c r="G15" s="1">
        <f t="shared" si="3"/>
        <v>10336</v>
      </c>
      <c r="H15" s="1">
        <v>200</v>
      </c>
      <c r="I15" s="1">
        <f t="shared" si="4"/>
        <v>118664</v>
      </c>
      <c r="J15" s="1">
        <v>3000</v>
      </c>
    </row>
    <row r="16" spans="1:10" ht="26.25" x14ac:dyDescent="0.25">
      <c r="A16" s="3" t="s">
        <v>3</v>
      </c>
      <c r="B16" s="3">
        <f>SUM(B4:B15)</f>
        <v>1050400</v>
      </c>
      <c r="C16" s="3">
        <f t="shared" ref="C16:J16" si="5">SUM(C4:C15)</f>
        <v>189072</v>
      </c>
      <c r="D16" s="3">
        <f t="shared" si="5"/>
        <v>126048</v>
      </c>
      <c r="E16" s="3">
        <f t="shared" si="5"/>
        <v>6000</v>
      </c>
      <c r="F16" s="3">
        <f t="shared" si="5"/>
        <v>1371520</v>
      </c>
      <c r="G16" s="3">
        <f t="shared" si="5"/>
        <v>109721.60000000001</v>
      </c>
      <c r="H16" s="3">
        <f t="shared" si="5"/>
        <v>2400</v>
      </c>
      <c r="I16" s="3">
        <f t="shared" si="5"/>
        <v>1259398.3999999999</v>
      </c>
      <c r="J16" s="3">
        <f t="shared" si="5"/>
        <v>36000</v>
      </c>
    </row>
    <row r="18" spans="3:3" ht="28.5" x14ac:dyDescent="0.25">
      <c r="C18" s="6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Salary 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Amirul Islam</cp:lastModifiedBy>
  <dcterms:created xsi:type="dcterms:W3CDTF">2026-02-07T04:02:44Z</dcterms:created>
  <dcterms:modified xsi:type="dcterms:W3CDTF">2026-02-08T04:03:48Z</dcterms:modified>
</cp:coreProperties>
</file>